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634F039-3256-4F4F-8A9D-96C294165220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Sheet1" sheetId="1" state="hidden" r:id="rId1"/>
    <sheet name="Kangatang" sheetId="3" state="veryHidden" r:id="rId2"/>
    <sheet name="Trạm bơm" sheetId="2" r:id="rId3"/>
    <sheet name="TB Tiêu (KH)" sheetId="4" r:id="rId4"/>
    <sheet name="Sheet3" sheetId="5" r:id="rId5"/>
    <sheet name="TB Tiêu (KH) (2)" sheetId="7" r:id="rId6"/>
    <sheet name="Sheet2" sheetId="6" r:id="rId7"/>
  </sheets>
  <definedNames>
    <definedName name="_xlnm._FilterDatabase" localSheetId="2" hidden="1">'Trạm bơm'!$A$9:$WWG$327</definedName>
    <definedName name="_xlnm.Print_Area" localSheetId="3">'TB Tiêu (KH)'!$B$1:$K$239</definedName>
    <definedName name="_xlnm.Print_Area" localSheetId="5">'TB Tiêu (KH) (2)'!$B$1:$G$247</definedName>
    <definedName name="_xlnm.Print_Area" localSheetId="2">'Trạm bơm'!$B$1:$K$327</definedName>
    <definedName name="_xlnm.Print_Titles" localSheetId="0">Sheet1!$8:$9</definedName>
    <definedName name="_xlnm.Print_Titles" localSheetId="3">'TB Tiêu (KH)'!$4:$5</definedName>
    <definedName name="_xlnm.Print_Titles" localSheetId="5">'TB Tiêu (KH) (2)'!$12:$13</definedName>
    <definedName name="_xlnm.Print_Titles" localSheetId="2">'Trạm bơm'!$8:$9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4" i="7" l="1"/>
  <c r="D234" i="7"/>
  <c r="D189" i="7"/>
  <c r="D65" i="7"/>
  <c r="D26" i="7"/>
  <c r="D14" i="7"/>
  <c r="M65435" i="7"/>
  <c r="M245" i="7"/>
  <c r="J245" i="7"/>
  <c r="I245" i="7"/>
  <c r="H245" i="7"/>
  <c r="H244" i="7" s="1"/>
  <c r="M244" i="7"/>
  <c r="M243" i="7"/>
  <c r="M242" i="7"/>
  <c r="M241" i="7"/>
  <c r="M240" i="7"/>
  <c r="M239" i="7"/>
  <c r="M238" i="7"/>
  <c r="M237" i="7"/>
  <c r="A236" i="7"/>
  <c r="M235" i="7"/>
  <c r="M234" i="7"/>
  <c r="J234" i="7"/>
  <c r="I234" i="7"/>
  <c r="H234" i="7"/>
  <c r="M233" i="7"/>
  <c r="M232" i="7"/>
  <c r="M231" i="7"/>
  <c r="M230" i="7"/>
  <c r="A229" i="7"/>
  <c r="A228" i="7"/>
  <c r="M227" i="7"/>
  <c r="M226" i="7"/>
  <c r="M225" i="7"/>
  <c r="M224" i="7"/>
  <c r="A223" i="7"/>
  <c r="M221" i="7"/>
  <c r="M220" i="7"/>
  <c r="A219" i="7"/>
  <c r="M218" i="7"/>
  <c r="A217" i="7"/>
  <c r="M216" i="7"/>
  <c r="M215" i="7"/>
  <c r="M214" i="7"/>
  <c r="A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A197" i="7"/>
  <c r="M196" i="7"/>
  <c r="A195" i="7"/>
  <c r="M194" i="7"/>
  <c r="M193" i="7"/>
  <c r="M190" i="7"/>
  <c r="M189" i="7"/>
  <c r="J189" i="7"/>
  <c r="I189" i="7"/>
  <c r="H189" i="7"/>
  <c r="M188" i="7"/>
  <c r="A187" i="7"/>
  <c r="M186" i="7"/>
  <c r="M185" i="7"/>
  <c r="A184" i="7"/>
  <c r="M183" i="7"/>
  <c r="M182" i="7"/>
  <c r="M181" i="7"/>
  <c r="A180" i="7"/>
  <c r="M179" i="7"/>
  <c r="A178" i="7"/>
  <c r="M177" i="7"/>
  <c r="A176" i="7"/>
  <c r="M175" i="7"/>
  <c r="M174" i="7"/>
  <c r="M173" i="7"/>
  <c r="A172" i="7"/>
  <c r="M171" i="7"/>
  <c r="M170" i="7"/>
  <c r="M169" i="7"/>
  <c r="M168" i="7"/>
  <c r="M167" i="7"/>
  <c r="M166" i="7"/>
  <c r="M165" i="7"/>
  <c r="A164" i="7"/>
  <c r="M163" i="7"/>
  <c r="A162" i="7"/>
  <c r="M161" i="7"/>
  <c r="A160" i="7"/>
  <c r="M159" i="7"/>
  <c r="M158" i="7"/>
  <c r="M157" i="7"/>
  <c r="M155" i="7"/>
  <c r="M153" i="7"/>
  <c r="M151" i="7"/>
  <c r="A150" i="7"/>
  <c r="M149" i="7"/>
  <c r="M148" i="7"/>
  <c r="A147" i="7"/>
  <c r="M146" i="7"/>
  <c r="M145" i="7"/>
  <c r="M144" i="7"/>
  <c r="M143" i="7"/>
  <c r="A142" i="7"/>
  <c r="M141" i="7"/>
  <c r="M140" i="7"/>
  <c r="M139" i="7"/>
  <c r="A138" i="7"/>
  <c r="M137" i="7"/>
  <c r="A136" i="7"/>
  <c r="M135" i="7"/>
  <c r="M134" i="7"/>
  <c r="M133" i="7"/>
  <c r="M132" i="7"/>
  <c r="M131" i="7"/>
  <c r="A130" i="7"/>
  <c r="M129" i="7"/>
  <c r="M128" i="7"/>
  <c r="M127" i="7"/>
  <c r="A126" i="7"/>
  <c r="A125" i="7"/>
  <c r="M124" i="7"/>
  <c r="A123" i="7"/>
  <c r="M122" i="7"/>
  <c r="M121" i="7"/>
  <c r="A120" i="7"/>
  <c r="M119" i="7"/>
  <c r="M118" i="7"/>
  <c r="M117" i="7"/>
  <c r="M116" i="7"/>
  <c r="M115" i="7"/>
  <c r="A114" i="7"/>
  <c r="M113" i="7"/>
  <c r="M112" i="7"/>
  <c r="M111" i="7"/>
  <c r="A110" i="7"/>
  <c r="M109" i="7"/>
  <c r="A108" i="7"/>
  <c r="M107" i="7"/>
  <c r="M106" i="7"/>
  <c r="A105" i="7"/>
  <c r="M104" i="7"/>
  <c r="M103" i="7"/>
  <c r="M102" i="7"/>
  <c r="A101" i="7"/>
  <c r="M100" i="7"/>
  <c r="A99" i="7"/>
  <c r="M98" i="7"/>
  <c r="A97" i="7"/>
  <c r="A96" i="7"/>
  <c r="M95" i="7"/>
  <c r="A94" i="7"/>
  <c r="M93" i="7"/>
  <c r="M92" i="7"/>
  <c r="A91" i="7"/>
  <c r="M90" i="7"/>
  <c r="M89" i="7"/>
  <c r="M88" i="7"/>
  <c r="M85" i="7"/>
  <c r="A84" i="7"/>
  <c r="A83" i="7"/>
  <c r="M82" i="7"/>
  <c r="A81" i="7"/>
  <c r="M80" i="7"/>
  <c r="A79" i="7"/>
  <c r="M78" i="7"/>
  <c r="M77" i="7"/>
  <c r="A76" i="7"/>
  <c r="M75" i="7"/>
  <c r="A74" i="7"/>
  <c r="M73" i="7"/>
  <c r="Z72" i="7"/>
  <c r="M72" i="7"/>
  <c r="M71" i="7"/>
  <c r="M70" i="7"/>
  <c r="A69" i="7"/>
  <c r="M68" i="7"/>
  <c r="M67" i="7"/>
  <c r="B67" i="7"/>
  <c r="B68" i="7" s="1"/>
  <c r="B70" i="7" s="1"/>
  <c r="B71" i="7" s="1"/>
  <c r="B72" i="7" s="1"/>
  <c r="B73" i="7" s="1"/>
  <c r="M66" i="7"/>
  <c r="M65" i="7"/>
  <c r="J65" i="7"/>
  <c r="I65" i="7"/>
  <c r="H65" i="7"/>
  <c r="M64" i="7"/>
  <c r="A63" i="7"/>
  <c r="A62" i="7"/>
  <c r="M61" i="7"/>
  <c r="A60" i="7"/>
  <c r="M59" i="7"/>
  <c r="A58" i="7"/>
  <c r="M57" i="7"/>
  <c r="A56" i="7"/>
  <c r="A55" i="7"/>
  <c r="M54" i="7"/>
  <c r="A53" i="7"/>
  <c r="A52" i="7"/>
  <c r="M51" i="7"/>
  <c r="A50" i="7"/>
  <c r="M49" i="7"/>
  <c r="A48" i="7"/>
  <c r="M47" i="7"/>
  <c r="A46" i="7"/>
  <c r="M45" i="7"/>
  <c r="A44" i="7"/>
  <c r="M43" i="7"/>
  <c r="A42" i="7"/>
  <c r="M41" i="7"/>
  <c r="A40" i="7"/>
  <c r="A39" i="7"/>
  <c r="M38" i="7"/>
  <c r="A37" i="7"/>
  <c r="M36" i="7"/>
  <c r="M35" i="7"/>
  <c r="M34" i="7"/>
  <c r="M32" i="7"/>
  <c r="M31" i="7"/>
  <c r="M30" i="7"/>
  <c r="M28" i="7"/>
  <c r="B28" i="7"/>
  <c r="B29" i="7" s="1"/>
  <c r="M27" i="7"/>
  <c r="M26" i="7"/>
  <c r="J26" i="7"/>
  <c r="I26" i="7"/>
  <c r="H26" i="7"/>
  <c r="M25" i="7"/>
  <c r="M24" i="7"/>
  <c r="M23" i="7"/>
  <c r="M22" i="7"/>
  <c r="M19" i="7"/>
  <c r="B19" i="7"/>
  <c r="M18" i="7"/>
  <c r="M17" i="7"/>
  <c r="M16" i="7"/>
  <c r="M15" i="7"/>
  <c r="A15" i="7"/>
  <c r="M14" i="7"/>
  <c r="J14" i="7"/>
  <c r="I14" i="7"/>
  <c r="H14" i="7"/>
  <c r="F238" i="4"/>
  <c r="F6" i="4"/>
  <c r="F18" i="4"/>
  <c r="F57" i="4"/>
  <c r="F181" i="4"/>
  <c r="F226" i="4"/>
  <c r="F236" i="4"/>
  <c r="Q65427" i="4"/>
  <c r="Q237" i="4"/>
  <c r="H237" i="4" s="1"/>
  <c r="L237" i="4" s="1"/>
  <c r="L236" i="4" s="1"/>
  <c r="N237" i="4"/>
  <c r="M237" i="4"/>
  <c r="D236" i="4"/>
  <c r="Q235" i="4"/>
  <c r="H235" i="4" s="1"/>
  <c r="Q234" i="4"/>
  <c r="H234" i="4" s="1"/>
  <c r="Q233" i="4"/>
  <c r="H233" i="4" s="1"/>
  <c r="Q232" i="4"/>
  <c r="H232" i="4" s="1"/>
  <c r="Q231" i="4"/>
  <c r="H231" i="4" s="1"/>
  <c r="Q230" i="4"/>
  <c r="H230" i="4" s="1"/>
  <c r="Q229" i="4"/>
  <c r="H229" i="4" s="1"/>
  <c r="A228" i="4"/>
  <c r="Q227" i="4"/>
  <c r="H227" i="4" s="1"/>
  <c r="D226" i="4"/>
  <c r="Q225" i="4"/>
  <c r="H225" i="4" s="1"/>
  <c r="Q224" i="4"/>
  <c r="H224" i="4" s="1"/>
  <c r="Q223" i="4"/>
  <c r="H223" i="4" s="1"/>
  <c r="J223" i="4"/>
  <c r="Q222" i="4"/>
  <c r="H222" i="4" s="1"/>
  <c r="A221" i="4"/>
  <c r="A220" i="4"/>
  <c r="Q219" i="4"/>
  <c r="H219" i="4" s="1"/>
  <c r="Q218" i="4"/>
  <c r="H218" i="4" s="1"/>
  <c r="Q217" i="4"/>
  <c r="H217" i="4" s="1"/>
  <c r="Q216" i="4"/>
  <c r="H216" i="4" s="1"/>
  <c r="A215" i="4"/>
  <c r="Q213" i="4"/>
  <c r="H213" i="4" s="1"/>
  <c r="Q212" i="4"/>
  <c r="H212" i="4" s="1"/>
  <c r="A211" i="4"/>
  <c r="Q210" i="4"/>
  <c r="H210" i="4" s="1"/>
  <c r="A209" i="4"/>
  <c r="Q208" i="4"/>
  <c r="H208" i="4" s="1"/>
  <c r="Q207" i="4"/>
  <c r="H207" i="4" s="1"/>
  <c r="Q206" i="4"/>
  <c r="H206" i="4" s="1"/>
  <c r="A205" i="4"/>
  <c r="Q204" i="4"/>
  <c r="H204" i="4" s="1"/>
  <c r="Q203" i="4"/>
  <c r="H203" i="4" s="1"/>
  <c r="Q202" i="4"/>
  <c r="H202" i="4" s="1"/>
  <c r="Q201" i="4"/>
  <c r="H201" i="4" s="1"/>
  <c r="Q200" i="4"/>
  <c r="H200" i="4" s="1"/>
  <c r="Q199" i="4"/>
  <c r="H199" i="4" s="1"/>
  <c r="Q198" i="4"/>
  <c r="Q197" i="4"/>
  <c r="H197" i="4" s="1"/>
  <c r="Q196" i="4"/>
  <c r="H196" i="4" s="1"/>
  <c r="Q195" i="4"/>
  <c r="H195" i="4" s="1"/>
  <c r="Q194" i="4"/>
  <c r="H194" i="4" s="1"/>
  <c r="Q193" i="4"/>
  <c r="H193" i="4" s="1"/>
  <c r="Q192" i="4"/>
  <c r="H192" i="4" s="1"/>
  <c r="Q191" i="4"/>
  <c r="H191" i="4" s="1"/>
  <c r="Q190" i="4"/>
  <c r="H190" i="4" s="1"/>
  <c r="A189" i="4"/>
  <c r="Q188" i="4"/>
  <c r="A187" i="4"/>
  <c r="Q186" i="4"/>
  <c r="H186" i="4" s="1"/>
  <c r="Q185" i="4"/>
  <c r="H185" i="4" s="1"/>
  <c r="Q182" i="4"/>
  <c r="H182" i="4" s="1"/>
  <c r="D181" i="4"/>
  <c r="Q180" i="4"/>
  <c r="H180" i="4" s="1"/>
  <c r="A179" i="4"/>
  <c r="Q178" i="4"/>
  <c r="H178" i="4" s="1"/>
  <c r="Q177" i="4"/>
  <c r="H177" i="4" s="1"/>
  <c r="A176" i="4"/>
  <c r="Q175" i="4"/>
  <c r="H175" i="4" s="1"/>
  <c r="Q174" i="4"/>
  <c r="H174" i="4" s="1"/>
  <c r="Q173" i="4"/>
  <c r="H173" i="4" s="1"/>
  <c r="A172" i="4"/>
  <c r="Q171" i="4"/>
  <c r="H171" i="4" s="1"/>
  <c r="A170" i="4"/>
  <c r="Q169" i="4"/>
  <c r="H169" i="4" s="1"/>
  <c r="A168" i="4"/>
  <c r="Q167" i="4"/>
  <c r="H167" i="4" s="1"/>
  <c r="Q166" i="4"/>
  <c r="H166" i="4" s="1"/>
  <c r="Q165" i="4"/>
  <c r="H165" i="4" s="1"/>
  <c r="A164" i="4"/>
  <c r="Q163" i="4"/>
  <c r="H163" i="4" s="1"/>
  <c r="Q162" i="4"/>
  <c r="H162" i="4" s="1"/>
  <c r="Q161" i="4"/>
  <c r="H161" i="4" s="1"/>
  <c r="Q160" i="4"/>
  <c r="H160" i="4" s="1"/>
  <c r="Q159" i="4"/>
  <c r="H159" i="4" s="1"/>
  <c r="Q158" i="4"/>
  <c r="H158" i="4" s="1"/>
  <c r="Q157" i="4"/>
  <c r="H157" i="4" s="1"/>
  <c r="A156" i="4"/>
  <c r="Q155" i="4"/>
  <c r="H155" i="4" s="1"/>
  <c r="A154" i="4"/>
  <c r="Q153" i="4"/>
  <c r="H153" i="4" s="1"/>
  <c r="A152" i="4"/>
  <c r="Q151" i="4"/>
  <c r="H151" i="4" s="1"/>
  <c r="Q150" i="4"/>
  <c r="H150" i="4" s="1"/>
  <c r="Q149" i="4"/>
  <c r="H149" i="4" s="1"/>
  <c r="Q147" i="4"/>
  <c r="H147" i="4" s="1"/>
  <c r="Q145" i="4"/>
  <c r="H145" i="4" s="1"/>
  <c r="Q143" i="4"/>
  <c r="H143" i="4" s="1"/>
  <c r="A142" i="4"/>
  <c r="Q141" i="4"/>
  <c r="H141" i="4" s="1"/>
  <c r="Q140" i="4"/>
  <c r="H140" i="4" s="1"/>
  <c r="A139" i="4"/>
  <c r="Q138" i="4"/>
  <c r="H138" i="4" s="1"/>
  <c r="Q137" i="4"/>
  <c r="H137" i="4" s="1"/>
  <c r="Q136" i="4"/>
  <c r="H136" i="4" s="1"/>
  <c r="Q135" i="4"/>
  <c r="H135" i="4" s="1"/>
  <c r="A134" i="4"/>
  <c r="Q133" i="4"/>
  <c r="H133" i="4" s="1"/>
  <c r="Q132" i="4"/>
  <c r="H132" i="4" s="1"/>
  <c r="Q131" i="4"/>
  <c r="H131" i="4" s="1"/>
  <c r="A130" i="4"/>
  <c r="Q129" i="4"/>
  <c r="H129" i="4" s="1"/>
  <c r="A128" i="4"/>
  <c r="Q127" i="4"/>
  <c r="H127" i="4" s="1"/>
  <c r="Q126" i="4"/>
  <c r="H126" i="4" s="1"/>
  <c r="Q125" i="4"/>
  <c r="H125" i="4" s="1"/>
  <c r="Q124" i="4"/>
  <c r="H124" i="4" s="1"/>
  <c r="Q123" i="4"/>
  <c r="H123" i="4" s="1"/>
  <c r="A122" i="4"/>
  <c r="Q121" i="4"/>
  <c r="H121" i="4" s="1"/>
  <c r="Q120" i="4"/>
  <c r="H120" i="4" s="1"/>
  <c r="Q119" i="4"/>
  <c r="H119" i="4" s="1"/>
  <c r="A118" i="4"/>
  <c r="A117" i="4"/>
  <c r="Q116" i="4"/>
  <c r="H116" i="4" s="1"/>
  <c r="A115" i="4"/>
  <c r="Q114" i="4"/>
  <c r="H114" i="4" s="1"/>
  <c r="Q113" i="4"/>
  <c r="H113" i="4" s="1"/>
  <c r="A112" i="4"/>
  <c r="Q111" i="4"/>
  <c r="H111" i="4" s="1"/>
  <c r="Q110" i="4"/>
  <c r="H110" i="4" s="1"/>
  <c r="Q109" i="4"/>
  <c r="H109" i="4" s="1"/>
  <c r="Q108" i="4"/>
  <c r="H108" i="4" s="1"/>
  <c r="Q107" i="4"/>
  <c r="H107" i="4" s="1"/>
  <c r="A106" i="4"/>
  <c r="Q105" i="4"/>
  <c r="H105" i="4" s="1"/>
  <c r="Q104" i="4"/>
  <c r="H104" i="4" s="1"/>
  <c r="Q103" i="4"/>
  <c r="H103" i="4" s="1"/>
  <c r="A102" i="4"/>
  <c r="Q101" i="4"/>
  <c r="H101" i="4" s="1"/>
  <c r="A100" i="4"/>
  <c r="Q99" i="4"/>
  <c r="H99" i="4" s="1"/>
  <c r="Q98" i="4"/>
  <c r="H98" i="4" s="1"/>
  <c r="A97" i="4"/>
  <c r="Q96" i="4"/>
  <c r="H96" i="4" s="1"/>
  <c r="Q95" i="4"/>
  <c r="H95" i="4" s="1"/>
  <c r="Q94" i="4"/>
  <c r="H94" i="4" s="1"/>
  <c r="A93" i="4"/>
  <c r="Q92" i="4"/>
  <c r="H92" i="4" s="1"/>
  <c r="A91" i="4"/>
  <c r="Q90" i="4"/>
  <c r="H90" i="4" s="1"/>
  <c r="A89" i="4"/>
  <c r="A88" i="4"/>
  <c r="Q87" i="4"/>
  <c r="H87" i="4" s="1"/>
  <c r="A86" i="4"/>
  <c r="Q85" i="4"/>
  <c r="H85" i="4" s="1"/>
  <c r="Q84" i="4"/>
  <c r="H84" i="4" s="1"/>
  <c r="A83" i="4"/>
  <c r="Q82" i="4"/>
  <c r="H82" i="4" s="1"/>
  <c r="Q81" i="4"/>
  <c r="H81" i="4" s="1"/>
  <c r="Q80" i="4"/>
  <c r="H80" i="4" s="1"/>
  <c r="Q77" i="4"/>
  <c r="H77" i="4" s="1"/>
  <c r="A76" i="4"/>
  <c r="A75" i="4"/>
  <c r="Q74" i="4"/>
  <c r="H74" i="4" s="1"/>
  <c r="A73" i="4"/>
  <c r="Q72" i="4"/>
  <c r="H72" i="4" s="1"/>
  <c r="A71" i="4"/>
  <c r="Q70" i="4"/>
  <c r="H70" i="4" s="1"/>
  <c r="Q69" i="4"/>
  <c r="H69" i="4" s="1"/>
  <c r="A68" i="4"/>
  <c r="Q67" i="4"/>
  <c r="H67" i="4" s="1"/>
  <c r="A66" i="4"/>
  <c r="Q65" i="4"/>
  <c r="H65" i="4" s="1"/>
  <c r="AD64" i="4"/>
  <c r="Q64" i="4"/>
  <c r="H64" i="4" s="1"/>
  <c r="Q63" i="4"/>
  <c r="H63" i="4" s="1"/>
  <c r="Q62" i="4"/>
  <c r="H62" i="4" s="1"/>
  <c r="A61" i="4"/>
  <c r="Q60" i="4"/>
  <c r="H60" i="4" s="1"/>
  <c r="Q59" i="4"/>
  <c r="H59" i="4" s="1"/>
  <c r="Q58" i="4"/>
  <c r="H58" i="4" s="1"/>
  <c r="Q56" i="4"/>
  <c r="H56" i="4" s="1"/>
  <c r="A55" i="4"/>
  <c r="A54" i="4"/>
  <c r="Q53" i="4"/>
  <c r="A52" i="4"/>
  <c r="Q51" i="4"/>
  <c r="H51" i="4" s="1"/>
  <c r="A50" i="4"/>
  <c r="Q49" i="4"/>
  <c r="H49" i="4" s="1"/>
  <c r="A48" i="4"/>
  <c r="A47" i="4"/>
  <c r="Q46" i="4"/>
  <c r="H46" i="4" s="1"/>
  <c r="A45" i="4"/>
  <c r="A44" i="4"/>
  <c r="Q43" i="4"/>
  <c r="H43" i="4" s="1"/>
  <c r="A42" i="4"/>
  <c r="Q41" i="4"/>
  <c r="H41" i="4" s="1"/>
  <c r="A40" i="4"/>
  <c r="Q39" i="4"/>
  <c r="H39" i="4" s="1"/>
  <c r="A38" i="4"/>
  <c r="Q37" i="4"/>
  <c r="H37" i="4" s="1"/>
  <c r="A36" i="4"/>
  <c r="Q35" i="4"/>
  <c r="H35" i="4" s="1"/>
  <c r="A34" i="4"/>
  <c r="Q33" i="4"/>
  <c r="H33" i="4" s="1"/>
  <c r="A32" i="4"/>
  <c r="A31" i="4"/>
  <c r="Q30" i="4"/>
  <c r="H30" i="4" s="1"/>
  <c r="A29" i="4"/>
  <c r="Q28" i="4"/>
  <c r="H28" i="4" s="1"/>
  <c r="Q27" i="4"/>
  <c r="H27" i="4" s="1"/>
  <c r="Q26" i="4"/>
  <c r="H26" i="4" s="1"/>
  <c r="Q24" i="4"/>
  <c r="Q23" i="4"/>
  <c r="H23" i="4" s="1"/>
  <c r="Q22" i="4"/>
  <c r="Q20" i="4"/>
  <c r="H20" i="4" s="1"/>
  <c r="Q19" i="4"/>
  <c r="H19" i="4" s="1"/>
  <c r="Q17" i="4"/>
  <c r="H17" i="4" s="1"/>
  <c r="Q16" i="4"/>
  <c r="H16" i="4" s="1"/>
  <c r="Q15" i="4"/>
  <c r="H15" i="4" s="1"/>
  <c r="Q14" i="4"/>
  <c r="H14" i="4" s="1"/>
  <c r="Q11" i="4"/>
  <c r="H11" i="4" s="1"/>
  <c r="Q10" i="4"/>
  <c r="H10" i="4" s="1"/>
  <c r="Q9" i="4"/>
  <c r="H9" i="4" s="1"/>
  <c r="Q8" i="4"/>
  <c r="H8" i="4" s="1"/>
  <c r="Q7" i="4"/>
  <c r="H7" i="4" s="1"/>
  <c r="B75" i="7" l="1"/>
  <c r="B31" i="7"/>
  <c r="B32" i="7" s="1"/>
  <c r="B34" i="7" s="1"/>
  <c r="B22" i="7"/>
  <c r="Q236" i="4"/>
  <c r="H198" i="4"/>
  <c r="H188" i="4"/>
  <c r="L6" i="4"/>
  <c r="Q6" i="4"/>
  <c r="B11" i="4"/>
  <c r="H53" i="4"/>
  <c r="N226" i="4"/>
  <c r="Q103" i="2"/>
  <c r="H103" i="2" s="1"/>
  <c r="Q84" i="2"/>
  <c r="H84" i="2" s="1"/>
  <c r="F31" i="2"/>
  <c r="E14" i="2"/>
  <c r="E15" i="2"/>
  <c r="B35" i="7" l="1"/>
  <c r="B36" i="7" s="1"/>
  <c r="B23" i="7"/>
  <c r="A22" i="7"/>
  <c r="B77" i="7"/>
  <c r="Q57" i="4"/>
  <c r="L226" i="4"/>
  <c r="Q181" i="4"/>
  <c r="N181" i="4"/>
  <c r="L181" i="4"/>
  <c r="L57" i="4"/>
  <c r="M181" i="4"/>
  <c r="N6" i="4"/>
  <c r="M226" i="4"/>
  <c r="Q18" i="4"/>
  <c r="M6" i="4"/>
  <c r="Q226" i="4"/>
  <c r="M57" i="4"/>
  <c r="N57" i="4"/>
  <c r="B14" i="4"/>
  <c r="N18" i="4"/>
  <c r="M18" i="4"/>
  <c r="L18" i="4"/>
  <c r="F38" i="2"/>
  <c r="F318" i="2"/>
  <c r="F313" i="2"/>
  <c r="F307" i="2"/>
  <c r="F270" i="2"/>
  <c r="F254" i="2"/>
  <c r="F119" i="2"/>
  <c r="F102" i="2"/>
  <c r="F79" i="2"/>
  <c r="Q259" i="2"/>
  <c r="B78" i="7" l="1"/>
  <c r="B24" i="7"/>
  <c r="B38" i="7"/>
  <c r="B15" i="4"/>
  <c r="F78" i="2"/>
  <c r="F48" i="2"/>
  <c r="F27" i="2"/>
  <c r="F11" i="2"/>
  <c r="B12" i="2"/>
  <c r="Q65516" i="2"/>
  <c r="Q326" i="2"/>
  <c r="H326" i="2" s="1"/>
  <c r="L326" i="2" s="1"/>
  <c r="L324" i="2" s="1"/>
  <c r="N326" i="2"/>
  <c r="M326" i="2"/>
  <c r="B326" i="2"/>
  <c r="D324" i="2" s="1"/>
  <c r="F325" i="2"/>
  <c r="F324" i="2" s="1"/>
  <c r="A325" i="2"/>
  <c r="Q322" i="2"/>
  <c r="H322" i="2" s="1"/>
  <c r="Q321" i="2"/>
  <c r="H321" i="2" s="1"/>
  <c r="Q323" i="2"/>
  <c r="H323" i="2" s="1"/>
  <c r="Q320" i="2"/>
  <c r="H320" i="2" s="1"/>
  <c r="Q319" i="2"/>
  <c r="H319" i="2" s="1"/>
  <c r="B319" i="2"/>
  <c r="A318" i="2"/>
  <c r="Q317" i="2"/>
  <c r="H317" i="2" s="1"/>
  <c r="Q316" i="2"/>
  <c r="H316" i="2" s="1"/>
  <c r="Q314" i="2"/>
  <c r="H314" i="2" s="1"/>
  <c r="Q315" i="2"/>
  <c r="H315" i="2" s="1"/>
  <c r="F312" i="2"/>
  <c r="D313" i="2"/>
  <c r="A313" i="2"/>
  <c r="Q310" i="2"/>
  <c r="H310" i="2" s="1"/>
  <c r="A309" i="2"/>
  <c r="Q308" i="2"/>
  <c r="H308" i="2" s="1"/>
  <c r="Q311" i="2"/>
  <c r="H311" i="2" s="1"/>
  <c r="D307" i="2"/>
  <c r="A307" i="2"/>
  <c r="Q305" i="2"/>
  <c r="H305" i="2" s="1"/>
  <c r="Q306" i="2"/>
  <c r="H306" i="2" s="1"/>
  <c r="A304" i="2"/>
  <c r="A303" i="2"/>
  <c r="Q302" i="2"/>
  <c r="H302" i="2" s="1"/>
  <c r="F301" i="2"/>
  <c r="D301" i="2"/>
  <c r="A301" i="2"/>
  <c r="D300" i="2"/>
  <c r="A289" i="2"/>
  <c r="Q287" i="2"/>
  <c r="H287" i="2" s="1"/>
  <c r="Q286" i="2"/>
  <c r="H286" i="2" s="1"/>
  <c r="A285" i="2"/>
  <c r="Q284" i="2"/>
  <c r="H284" i="2" s="1"/>
  <c r="Q291" i="2"/>
  <c r="H291" i="2" s="1"/>
  <c r="Q299" i="2"/>
  <c r="H299" i="2" s="1"/>
  <c r="Q298" i="2"/>
  <c r="H298" i="2" s="1"/>
  <c r="A283" i="2"/>
  <c r="Q282" i="2"/>
  <c r="H282" i="2" s="1"/>
  <c r="Q281" i="2"/>
  <c r="H281" i="2" s="1"/>
  <c r="Q280" i="2"/>
  <c r="H280" i="2" s="1"/>
  <c r="A279" i="2"/>
  <c r="Q278" i="2"/>
  <c r="H278" i="2" s="1"/>
  <c r="Q297" i="2"/>
  <c r="H297" i="2" s="1"/>
  <c r="J297" i="2"/>
  <c r="Q277" i="2"/>
  <c r="H277" i="2" s="1"/>
  <c r="Q296" i="2"/>
  <c r="H296" i="2" s="1"/>
  <c r="A295" i="2"/>
  <c r="A294" i="2"/>
  <c r="Q293" i="2"/>
  <c r="H293" i="2" s="1"/>
  <c r="Q292" i="2"/>
  <c r="H292" i="2" s="1"/>
  <c r="Q290" i="2"/>
  <c r="H290" i="2" s="1"/>
  <c r="Q273" i="2"/>
  <c r="H273" i="2" s="1"/>
  <c r="Q276" i="2"/>
  <c r="H276" i="2" s="1"/>
  <c r="Q271" i="2"/>
  <c r="H271" i="2" s="1"/>
  <c r="Q275" i="2"/>
  <c r="H275" i="2" s="1"/>
  <c r="Q274" i="2"/>
  <c r="H274" i="2" s="1"/>
  <c r="Q272" i="2"/>
  <c r="A270" i="2"/>
  <c r="A262" i="2"/>
  <c r="Q261" i="2"/>
  <c r="H261" i="2" s="1"/>
  <c r="Q267" i="2"/>
  <c r="H267" i="2" s="1"/>
  <c r="Q269" i="2"/>
  <c r="H269" i="2" s="1"/>
  <c r="Q266" i="2"/>
  <c r="H266" i="2" s="1"/>
  <c r="Q268" i="2"/>
  <c r="H268" i="2" s="1"/>
  <c r="Q258" i="2"/>
  <c r="H258" i="2" s="1"/>
  <c r="Q265" i="2"/>
  <c r="H265" i="2" s="1"/>
  <c r="Q264" i="2"/>
  <c r="H264" i="2" s="1"/>
  <c r="Q255" i="2"/>
  <c r="H255" i="2" s="1"/>
  <c r="Q263" i="2"/>
  <c r="H263" i="2" s="1"/>
  <c r="A260" i="2"/>
  <c r="H259" i="2"/>
  <c r="D254" i="2"/>
  <c r="A254" i="2"/>
  <c r="Q253" i="2"/>
  <c r="H253" i="2" s="1"/>
  <c r="Q252" i="2"/>
  <c r="H252" i="2" s="1"/>
  <c r="Q245" i="2"/>
  <c r="H245" i="2" s="1"/>
  <c r="Q244" i="2"/>
  <c r="H244" i="2" s="1"/>
  <c r="Q250" i="2"/>
  <c r="H250" i="2" s="1"/>
  <c r="Q243" i="2"/>
  <c r="H243" i="2" s="1"/>
  <c r="Q242" i="2"/>
  <c r="H242" i="2" s="1"/>
  <c r="Q249" i="2"/>
  <c r="H249" i="2" s="1"/>
  <c r="Q240" i="2"/>
  <c r="H240" i="2" s="1"/>
  <c r="Q237" i="2"/>
  <c r="H237" i="2" s="1"/>
  <c r="Q238" i="2"/>
  <c r="H238" i="2" s="1"/>
  <c r="Q251" i="2"/>
  <c r="H251" i="2" s="1"/>
  <c r="Q236" i="2"/>
  <c r="H236" i="2" s="1"/>
  <c r="A235" i="2"/>
  <c r="Q234" i="2"/>
  <c r="H234" i="2" s="1"/>
  <c r="Q233" i="2"/>
  <c r="H233" i="2" s="1"/>
  <c r="Q248" i="2"/>
  <c r="H248" i="2" s="1"/>
  <c r="Q239" i="2"/>
  <c r="H239" i="2" s="1"/>
  <c r="Q241" i="2"/>
  <c r="H241" i="2" s="1"/>
  <c r="A247" i="2"/>
  <c r="Q246" i="2"/>
  <c r="H246" i="2" s="1"/>
  <c r="Q232" i="2"/>
  <c r="H232" i="2" s="1"/>
  <c r="Q231" i="2"/>
  <c r="H231" i="2" s="1"/>
  <c r="Q230" i="2"/>
  <c r="H230" i="2" s="1"/>
  <c r="Q229" i="2"/>
  <c r="H229" i="2" s="1"/>
  <c r="F228" i="2"/>
  <c r="D228" i="2"/>
  <c r="A228" i="2"/>
  <c r="Q181" i="2"/>
  <c r="H181" i="2" s="1"/>
  <c r="A180" i="2"/>
  <c r="Q179" i="2"/>
  <c r="H179" i="2" s="1"/>
  <c r="Q178" i="2"/>
  <c r="H178" i="2" s="1"/>
  <c r="Q223" i="2"/>
  <c r="H223" i="2" s="1"/>
  <c r="A222" i="2"/>
  <c r="Q221" i="2"/>
  <c r="H221" i="2" s="1"/>
  <c r="Q226" i="2"/>
  <c r="H226" i="2" s="1"/>
  <c r="A225" i="2"/>
  <c r="Q224" i="2"/>
  <c r="H224" i="2" s="1"/>
  <c r="Q172" i="2"/>
  <c r="H172" i="2" s="1"/>
  <c r="Q183" i="2"/>
  <c r="H183" i="2" s="1"/>
  <c r="Q182" i="2"/>
  <c r="H182" i="2" s="1"/>
  <c r="Q220" i="2"/>
  <c r="H220" i="2" s="1"/>
  <c r="Q219" i="2"/>
  <c r="H219" i="2" s="1"/>
  <c r="A218" i="2"/>
  <c r="Q217" i="2"/>
  <c r="H217" i="2" s="1"/>
  <c r="A216" i="2"/>
  <c r="Q215" i="2"/>
  <c r="H215" i="2" s="1"/>
  <c r="Q177" i="2"/>
  <c r="H177" i="2" s="1"/>
  <c r="Q213" i="2"/>
  <c r="H213" i="2" s="1"/>
  <c r="Q212" i="2"/>
  <c r="H212" i="2" s="1"/>
  <c r="Q211" i="2"/>
  <c r="H211" i="2" s="1"/>
  <c r="Q207" i="2"/>
  <c r="H207" i="2" s="1"/>
  <c r="A210" i="2"/>
  <c r="Q209" i="2"/>
  <c r="H209" i="2" s="1"/>
  <c r="Q208" i="2"/>
  <c r="H208" i="2" s="1"/>
  <c r="Q206" i="2"/>
  <c r="H206" i="2" s="1"/>
  <c r="Q205" i="2"/>
  <c r="H205" i="2" s="1"/>
  <c r="Q204" i="2"/>
  <c r="H204" i="2" s="1"/>
  <c r="Q203" i="2"/>
  <c r="H203" i="2" s="1"/>
  <c r="Q201" i="2"/>
  <c r="H201" i="2" s="1"/>
  <c r="Q199" i="2"/>
  <c r="H199" i="2" s="1"/>
  <c r="Q197" i="2"/>
  <c r="H197" i="2" s="1"/>
  <c r="Q196" i="2"/>
  <c r="H196" i="2" s="1"/>
  <c r="A176" i="2"/>
  <c r="Q175" i="2"/>
  <c r="H175" i="2" s="1"/>
  <c r="A174" i="2"/>
  <c r="Q173" i="2"/>
  <c r="H173" i="2" s="1"/>
  <c r="Q166" i="2"/>
  <c r="H166" i="2" s="1"/>
  <c r="Q150" i="2"/>
  <c r="H150" i="2" s="1"/>
  <c r="Q153" i="2"/>
  <c r="H153" i="2" s="1"/>
  <c r="Q165" i="2"/>
  <c r="H165" i="2" s="1"/>
  <c r="Q156" i="2"/>
  <c r="H156" i="2" s="1"/>
  <c r="Q154" i="2"/>
  <c r="H154" i="2" s="1"/>
  <c r="Q169" i="2"/>
  <c r="H169" i="2" s="1"/>
  <c r="Q155" i="2"/>
  <c r="H155" i="2" s="1"/>
  <c r="A152" i="2"/>
  <c r="Q151" i="2"/>
  <c r="H151" i="2" s="1"/>
  <c r="A148" i="2"/>
  <c r="Q147" i="2"/>
  <c r="H147" i="2" s="1"/>
  <c r="Q195" i="2"/>
  <c r="H195" i="2" s="1"/>
  <c r="Q149" i="2"/>
  <c r="H149" i="2" s="1"/>
  <c r="A168" i="2"/>
  <c r="Q167" i="2"/>
  <c r="H167" i="2" s="1"/>
  <c r="Q171" i="2"/>
  <c r="H171" i="2" s="1"/>
  <c r="Q170" i="2"/>
  <c r="H170" i="2" s="1"/>
  <c r="Q186" i="2"/>
  <c r="H186" i="2" s="1"/>
  <c r="A146" i="2"/>
  <c r="Q145" i="2"/>
  <c r="H145" i="2" s="1"/>
  <c r="Q144" i="2"/>
  <c r="H144" i="2" s="1"/>
  <c r="A139" i="2"/>
  <c r="Q138" i="2"/>
  <c r="H138" i="2" s="1"/>
  <c r="A135" i="2"/>
  <c r="A134" i="2"/>
  <c r="Q133" i="2"/>
  <c r="H133" i="2" s="1"/>
  <c r="A129" i="2"/>
  <c r="Q128" i="2"/>
  <c r="H128" i="2" s="1"/>
  <c r="A132" i="2"/>
  <c r="Q131" i="2"/>
  <c r="H131" i="2" s="1"/>
  <c r="A137" i="2"/>
  <c r="Q136" i="2"/>
  <c r="H136" i="2" s="1"/>
  <c r="Q140" i="2"/>
  <c r="H140" i="2" s="1"/>
  <c r="Q141" i="2"/>
  <c r="H141" i="2" s="1"/>
  <c r="A143" i="2"/>
  <c r="Q142" i="2"/>
  <c r="H142" i="2" s="1"/>
  <c r="Q193" i="2"/>
  <c r="H193" i="2" s="1"/>
  <c r="Q191" i="2"/>
  <c r="H191" i="2" s="1"/>
  <c r="Q189" i="2"/>
  <c r="H189" i="2" s="1"/>
  <c r="Q123" i="2"/>
  <c r="H123" i="2" s="1"/>
  <c r="A185" i="2"/>
  <c r="Q184" i="2"/>
  <c r="H184" i="2" s="1"/>
  <c r="A121" i="2"/>
  <c r="Q120" i="2"/>
  <c r="H120" i="2" s="1"/>
  <c r="A158" i="2"/>
  <c r="Q157" i="2"/>
  <c r="H157" i="2" s="1"/>
  <c r="Q159" i="2"/>
  <c r="H159" i="2" s="1"/>
  <c r="A164" i="2"/>
  <c r="A163" i="2"/>
  <c r="Q162" i="2"/>
  <c r="H162" i="2" s="1"/>
  <c r="A161" i="2"/>
  <c r="Q160" i="2"/>
  <c r="H160" i="2" s="1"/>
  <c r="Q130" i="2"/>
  <c r="H130" i="2" s="1"/>
  <c r="Q126" i="2"/>
  <c r="H126" i="2" s="1"/>
  <c r="Q127" i="2"/>
  <c r="H127" i="2" s="1"/>
  <c r="A119" i="2"/>
  <c r="A116" i="2"/>
  <c r="Q115" i="2"/>
  <c r="H115" i="2" s="1"/>
  <c r="Q108" i="2"/>
  <c r="H108" i="2" s="1"/>
  <c r="Q104" i="2"/>
  <c r="H104" i="2" s="1"/>
  <c r="Q107" i="2"/>
  <c r="H107" i="2" s="1"/>
  <c r="Q114" i="2"/>
  <c r="H114" i="2" s="1"/>
  <c r="A113" i="2"/>
  <c r="Q112" i="2"/>
  <c r="H112" i="2" s="1"/>
  <c r="A111" i="2"/>
  <c r="Q110" i="2"/>
  <c r="H110" i="2" s="1"/>
  <c r="A106" i="2"/>
  <c r="Q105" i="2"/>
  <c r="H105" i="2" s="1"/>
  <c r="AD109" i="2"/>
  <c r="Q109" i="2"/>
  <c r="H109" i="2" s="1"/>
  <c r="AD102" i="2"/>
  <c r="A102" i="2"/>
  <c r="AD82" i="2"/>
  <c r="Q82" i="2"/>
  <c r="H82" i="2" s="1"/>
  <c r="AD99" i="2"/>
  <c r="Q99" i="2"/>
  <c r="H99" i="2" s="1"/>
  <c r="AD89" i="2"/>
  <c r="A89" i="2"/>
  <c r="Q88" i="2"/>
  <c r="H88" i="2" s="1"/>
  <c r="AD90" i="2"/>
  <c r="Q90" i="2"/>
  <c r="H90" i="2" s="1"/>
  <c r="AD94" i="2"/>
  <c r="Q94" i="2"/>
  <c r="H94" i="2" s="1"/>
  <c r="AD87" i="2"/>
  <c r="Q87" i="2"/>
  <c r="H87" i="2" s="1"/>
  <c r="AD93" i="2"/>
  <c r="A93" i="2"/>
  <c r="AD92" i="2"/>
  <c r="Q92" i="2"/>
  <c r="H92" i="2" s="1"/>
  <c r="AD91" i="2"/>
  <c r="Q91" i="2"/>
  <c r="H91" i="2" s="1"/>
  <c r="AD81" i="2"/>
  <c r="Q81" i="2"/>
  <c r="H81" i="2" s="1"/>
  <c r="Q80" i="2"/>
  <c r="H80" i="2" s="1"/>
  <c r="Q98" i="2"/>
  <c r="H98" i="2" s="1"/>
  <c r="Q97" i="2"/>
  <c r="H97" i="2" s="1"/>
  <c r="Q86" i="2"/>
  <c r="H86" i="2" s="1"/>
  <c r="Q83" i="2"/>
  <c r="H83" i="2" s="1"/>
  <c r="Q85" i="2"/>
  <c r="H85" i="2" s="1"/>
  <c r="Q96" i="2"/>
  <c r="H96" i="2" s="1"/>
  <c r="Q95" i="2"/>
  <c r="H95" i="2" s="1"/>
  <c r="A79" i="2"/>
  <c r="A50" i="2"/>
  <c r="Q49" i="2"/>
  <c r="H49" i="2" s="1"/>
  <c r="A68" i="2"/>
  <c r="Q67" i="2"/>
  <c r="H67" i="2" s="1"/>
  <c r="Q77" i="2"/>
  <c r="H77" i="2" s="1"/>
  <c r="A76" i="2"/>
  <c r="A75" i="2"/>
  <c r="Q74" i="2"/>
  <c r="H74" i="2" s="1"/>
  <c r="A188" i="2"/>
  <c r="Q187" i="2"/>
  <c r="H187" i="2" s="1"/>
  <c r="A65" i="2"/>
  <c r="Q64" i="2"/>
  <c r="H64" i="2" s="1"/>
  <c r="A63" i="2"/>
  <c r="Q62" i="2"/>
  <c r="H62" i="2" s="1"/>
  <c r="Q56" i="2"/>
  <c r="H56" i="2" s="1"/>
  <c r="A61" i="2"/>
  <c r="Q60" i="2"/>
  <c r="H60" i="2" s="1"/>
  <c r="A59" i="2"/>
  <c r="Q58" i="2"/>
  <c r="H58" i="2" s="1"/>
  <c r="Q54" i="2"/>
  <c r="H54" i="2" s="1"/>
  <c r="A52" i="2"/>
  <c r="Q51" i="2"/>
  <c r="H51" i="2" s="1"/>
  <c r="A73" i="2"/>
  <c r="Q72" i="2"/>
  <c r="H72" i="2" s="1"/>
  <c r="A71" i="2"/>
  <c r="Q70" i="2"/>
  <c r="H70" i="2" s="1"/>
  <c r="A48" i="2"/>
  <c r="Q43" i="2"/>
  <c r="H43" i="2" s="1"/>
  <c r="Q47" i="2"/>
  <c r="H47" i="2" s="1"/>
  <c r="Q44" i="2"/>
  <c r="A118" i="2"/>
  <c r="Q117" i="2"/>
  <c r="H117" i="2" s="1"/>
  <c r="Q46" i="2"/>
  <c r="H46" i="2" s="1"/>
  <c r="Q40" i="2"/>
  <c r="H40" i="2" s="1"/>
  <c r="Q42" i="2"/>
  <c r="Q39" i="2"/>
  <c r="A38" i="2"/>
  <c r="A101" i="2"/>
  <c r="Q100" i="2"/>
  <c r="H100" i="2" s="1"/>
  <c r="Q37" i="2"/>
  <c r="H37" i="2" s="1"/>
  <c r="Q36" i="2"/>
  <c r="H36" i="2" s="1"/>
  <c r="Q35" i="2"/>
  <c r="H35" i="2" s="1"/>
  <c r="Q34" i="2"/>
  <c r="H34" i="2" s="1"/>
  <c r="Q33" i="2"/>
  <c r="Q32" i="2"/>
  <c r="I32" i="2"/>
  <c r="H32" i="2"/>
  <c r="A31" i="2"/>
  <c r="Q28" i="2"/>
  <c r="H28" i="2" s="1"/>
  <c r="Q29" i="2"/>
  <c r="H29" i="2" s="1"/>
  <c r="A27" i="2"/>
  <c r="Q21" i="2"/>
  <c r="H21" i="2" s="1"/>
  <c r="Q26" i="2"/>
  <c r="H26" i="2" s="1"/>
  <c r="Q22" i="2"/>
  <c r="H22" i="2" s="1"/>
  <c r="Q19" i="2"/>
  <c r="H19" i="2" s="1"/>
  <c r="Q20" i="2"/>
  <c r="H20" i="2" s="1"/>
  <c r="Q25" i="2"/>
  <c r="H25" i="2" s="1"/>
  <c r="Q18" i="2"/>
  <c r="H18" i="2" s="1"/>
  <c r="B18" i="2"/>
  <c r="B22" i="2" s="1"/>
  <c r="F17" i="2"/>
  <c r="A17" i="2"/>
  <c r="Q15" i="2"/>
  <c r="H15" i="2" s="1"/>
  <c r="Q14" i="2"/>
  <c r="H14" i="2" s="1"/>
  <c r="Q13" i="2"/>
  <c r="H13" i="2" s="1"/>
  <c r="Q12" i="2"/>
  <c r="H12" i="2" s="1"/>
  <c r="Q16" i="2"/>
  <c r="H16" i="2" s="1"/>
  <c r="B25" i="7" l="1"/>
  <c r="B41" i="7"/>
  <c r="B80" i="7"/>
  <c r="B16" i="4"/>
  <c r="B20" i="4"/>
  <c r="B25" i="2"/>
  <c r="B26" i="2" s="1"/>
  <c r="B28" i="2" s="1"/>
  <c r="B29" i="2" s="1"/>
  <c r="B33" i="2"/>
  <c r="B34" i="2" s="1"/>
  <c r="B35" i="2" s="1"/>
  <c r="B36" i="2" s="1"/>
  <c r="B37" i="2" s="1"/>
  <c r="B39" i="2" s="1"/>
  <c r="AE81" i="2"/>
  <c r="Q79" i="2" s="1"/>
  <c r="F227" i="2"/>
  <c r="F10" i="2"/>
  <c r="F30" i="2"/>
  <c r="Q301" i="2"/>
  <c r="Q324" i="2"/>
  <c r="M318" i="2"/>
  <c r="L318" i="2"/>
  <c r="Q11" i="2"/>
  <c r="Q17" i="2"/>
  <c r="Q48" i="2"/>
  <c r="Q254" i="2"/>
  <c r="F300" i="2"/>
  <c r="N301" i="2"/>
  <c r="Q318" i="2"/>
  <c r="M79" i="2"/>
  <c r="M102" i="2"/>
  <c r="N102" i="2"/>
  <c r="L102" i="2"/>
  <c r="M254" i="2"/>
  <c r="M48" i="2"/>
  <c r="M11" i="2"/>
  <c r="Q27" i="2"/>
  <c r="M27" i="2"/>
  <c r="L119" i="2"/>
  <c r="M301" i="2"/>
  <c r="Q313" i="2"/>
  <c r="Q312" i="2" s="1"/>
  <c r="Q307" i="2" s="1"/>
  <c r="Q300" i="2" s="1"/>
  <c r="N318" i="2"/>
  <c r="N11" i="2"/>
  <c r="N17" i="2"/>
  <c r="L17" i="2"/>
  <c r="M17" i="2"/>
  <c r="L11" i="2"/>
  <c r="H33" i="2"/>
  <c r="H39" i="2"/>
  <c r="Q38" i="2"/>
  <c r="Q31" i="2" s="1"/>
  <c r="N48" i="2"/>
  <c r="L48" i="2"/>
  <c r="AF89" i="2"/>
  <c r="Q102" i="2" s="1"/>
  <c r="N27" i="2"/>
  <c r="L27" i="2"/>
  <c r="N79" i="2"/>
  <c r="L79" i="2"/>
  <c r="AG89" i="2"/>
  <c r="N119" i="2"/>
  <c r="M119" i="2"/>
  <c r="N228" i="2"/>
  <c r="L228" i="2"/>
  <c r="M228" i="2"/>
  <c r="Q119" i="2"/>
  <c r="Q228" i="2"/>
  <c r="H272" i="2"/>
  <c r="Q270" i="2"/>
  <c r="N307" i="2"/>
  <c r="L307" i="2"/>
  <c r="M307" i="2"/>
  <c r="N313" i="2"/>
  <c r="M313" i="2"/>
  <c r="N254" i="2"/>
  <c r="L254" i="2"/>
  <c r="L301" i="2"/>
  <c r="L300" i="2" s="1"/>
  <c r="L313" i="2"/>
  <c r="B320" i="2"/>
  <c r="D325" i="2"/>
  <c r="Q65515" i="1"/>
  <c r="Q325" i="1"/>
  <c r="N325" i="1"/>
  <c r="M325" i="1"/>
  <c r="H325" i="1"/>
  <c r="L325" i="1" s="1"/>
  <c r="L323" i="1" s="1"/>
  <c r="B325" i="1"/>
  <c r="D324" i="1" s="1"/>
  <c r="F324" i="1"/>
  <c r="A324" i="1"/>
  <c r="Q323" i="1"/>
  <c r="F323" i="1"/>
  <c r="Q322" i="1"/>
  <c r="H322" i="1" s="1"/>
  <c r="Q321" i="1"/>
  <c r="H321" i="1" s="1"/>
  <c r="Q320" i="1"/>
  <c r="H320" i="1" s="1"/>
  <c r="Q319" i="1"/>
  <c r="H319" i="1" s="1"/>
  <c r="Q318" i="1"/>
  <c r="H318" i="1" s="1"/>
  <c r="M317" i="1" s="1"/>
  <c r="B318" i="1"/>
  <c r="F317" i="1"/>
  <c r="A317" i="1"/>
  <c r="Q316" i="1"/>
  <c r="H316" i="1"/>
  <c r="Q315" i="1"/>
  <c r="H315" i="1" s="1"/>
  <c r="Q314" i="1"/>
  <c r="H314" i="1" s="1"/>
  <c r="Q313" i="1"/>
  <c r="F312" i="1"/>
  <c r="F311" i="1" s="1"/>
  <c r="D312" i="1"/>
  <c r="A312" i="1"/>
  <c r="Q310" i="1"/>
  <c r="H310" i="1" s="1"/>
  <c r="A309" i="1"/>
  <c r="Q308" i="1"/>
  <c r="H308" i="1" s="1"/>
  <c r="Q307" i="1"/>
  <c r="H307" i="1"/>
  <c r="F306" i="1"/>
  <c r="D306" i="1"/>
  <c r="A306" i="1"/>
  <c r="Q305" i="1"/>
  <c r="H305" i="1" s="1"/>
  <c r="Q304" i="1"/>
  <c r="H304" i="1" s="1"/>
  <c r="A303" i="1"/>
  <c r="A302" i="1"/>
  <c r="Q301" i="1"/>
  <c r="F300" i="1"/>
  <c r="D300" i="1"/>
  <c r="A300" i="1"/>
  <c r="F299" i="1"/>
  <c r="D299" i="1"/>
  <c r="A298" i="1"/>
  <c r="Q297" i="1"/>
  <c r="H297" i="1"/>
  <c r="B297" i="1"/>
  <c r="Q296" i="1"/>
  <c r="H296" i="1" s="1"/>
  <c r="A295" i="1"/>
  <c r="Q294" i="1"/>
  <c r="H294" i="1"/>
  <c r="Q293" i="1"/>
  <c r="H293" i="1" s="1"/>
  <c r="Q292" i="1"/>
  <c r="H292" i="1" s="1"/>
  <c r="Q291" i="1"/>
  <c r="H291" i="1" s="1"/>
  <c r="A290" i="1"/>
  <c r="Q289" i="1"/>
  <c r="H289" i="1" s="1"/>
  <c r="Q288" i="1"/>
  <c r="H288" i="1"/>
  <c r="Q287" i="1"/>
  <c r="H287" i="1" s="1"/>
  <c r="A286" i="1"/>
  <c r="Q285" i="1"/>
  <c r="H285" i="1" s="1"/>
  <c r="Q284" i="1"/>
  <c r="H284" i="1" s="1"/>
  <c r="J284" i="1"/>
  <c r="Q283" i="1"/>
  <c r="H283" i="1"/>
  <c r="Q282" i="1"/>
  <c r="H282" i="1" s="1"/>
  <c r="A281" i="1"/>
  <c r="A280" i="1"/>
  <c r="Q279" i="1"/>
  <c r="H279" i="1" s="1"/>
  <c r="Q278" i="1"/>
  <c r="H278" i="1" s="1"/>
  <c r="Q277" i="1"/>
  <c r="H277" i="1"/>
  <c r="Q276" i="1"/>
  <c r="H276" i="1" s="1"/>
  <c r="Q275" i="1"/>
  <c r="H275" i="1" s="1"/>
  <c r="Q274" i="1"/>
  <c r="H274" i="1" s="1"/>
  <c r="Q273" i="1"/>
  <c r="H273" i="1"/>
  <c r="Q272" i="1"/>
  <c r="H272" i="1" s="1"/>
  <c r="Q271" i="1"/>
  <c r="H271" i="1" s="1"/>
  <c r="F270" i="1"/>
  <c r="D270" i="1"/>
  <c r="A270" i="1"/>
  <c r="A269" i="1"/>
  <c r="Q268" i="1"/>
  <c r="H268" i="1" s="1"/>
  <c r="Q267" i="1"/>
  <c r="H267" i="1"/>
  <c r="Q266" i="1"/>
  <c r="H266" i="1" s="1"/>
  <c r="Q265" i="1"/>
  <c r="H265" i="1" s="1"/>
  <c r="Q264" i="1"/>
  <c r="H264" i="1" s="1"/>
  <c r="Q263" i="1"/>
  <c r="H263" i="1"/>
  <c r="Q262" i="1"/>
  <c r="H262" i="1" s="1"/>
  <c r="Q261" i="1"/>
  <c r="H261" i="1" s="1"/>
  <c r="Q259" i="1"/>
  <c r="H259" i="1" s="1"/>
  <c r="Q258" i="1"/>
  <c r="H258" i="1" s="1"/>
  <c r="A257" i="1"/>
  <c r="A256" i="1"/>
  <c r="Q255" i="1"/>
  <c r="F254" i="1"/>
  <c r="D254" i="1"/>
  <c r="A254" i="1"/>
  <c r="Q253" i="1"/>
  <c r="H253" i="1" s="1"/>
  <c r="Q252" i="1"/>
  <c r="H252" i="1"/>
  <c r="Q251" i="1"/>
  <c r="H251" i="1" s="1"/>
  <c r="Q250" i="1"/>
  <c r="H250" i="1" s="1"/>
  <c r="Q249" i="1"/>
  <c r="H249" i="1" s="1"/>
  <c r="Q248" i="1"/>
  <c r="H248" i="1"/>
  <c r="Q247" i="1"/>
  <c r="H247" i="1" s="1"/>
  <c r="Q246" i="1"/>
  <c r="H246" i="1" s="1"/>
  <c r="Q245" i="1"/>
  <c r="H245" i="1" s="1"/>
  <c r="Q244" i="1"/>
  <c r="H244" i="1"/>
  <c r="Q243" i="1"/>
  <c r="H243" i="1" s="1"/>
  <c r="Q242" i="1"/>
  <c r="H242" i="1" s="1"/>
  <c r="Q241" i="1"/>
  <c r="H241" i="1" s="1"/>
  <c r="A240" i="1"/>
  <c r="Q239" i="1"/>
  <c r="H239" i="1" s="1"/>
  <c r="Q238" i="1"/>
  <c r="H238" i="1" s="1"/>
  <c r="Q237" i="1"/>
  <c r="H237" i="1" s="1"/>
  <c r="Q236" i="1"/>
  <c r="H236" i="1" s="1"/>
  <c r="Q235" i="1"/>
  <c r="H235" i="1"/>
  <c r="A234" i="1"/>
  <c r="Q233" i="1"/>
  <c r="H233" i="1" s="1"/>
  <c r="Q232" i="1"/>
  <c r="H232" i="1" s="1"/>
  <c r="Q231" i="1"/>
  <c r="H231" i="1"/>
  <c r="Q230" i="1"/>
  <c r="H230" i="1" s="1"/>
  <c r="Q229" i="1"/>
  <c r="H229" i="1" s="1"/>
  <c r="F228" i="1"/>
  <c r="F227" i="1" s="1"/>
  <c r="D228" i="1"/>
  <c r="A228" i="1"/>
  <c r="D227" i="1"/>
  <c r="Q226" i="1"/>
  <c r="H226" i="1"/>
  <c r="A225" i="1"/>
  <c r="Q224" i="1"/>
  <c r="H224" i="1" s="1"/>
  <c r="Q223" i="1"/>
  <c r="H223" i="1" s="1"/>
  <c r="Q222" i="1"/>
  <c r="H222" i="1"/>
  <c r="A221" i="1"/>
  <c r="Q220" i="1"/>
  <c r="H220" i="1" s="1"/>
  <c r="Q219" i="1"/>
  <c r="H219" i="1" s="1"/>
  <c r="A218" i="1"/>
  <c r="Q217" i="1"/>
  <c r="H217" i="1" s="1"/>
  <c r="Q216" i="1"/>
  <c r="H216" i="1"/>
  <c r="Q215" i="1"/>
  <c r="H215" i="1" s="1"/>
  <c r="Q214" i="1"/>
  <c r="H214" i="1" s="1"/>
  <c r="Q213" i="1"/>
  <c r="H213" i="1" s="1"/>
  <c r="Q212" i="1"/>
  <c r="H212" i="1"/>
  <c r="A211" i="1"/>
  <c r="Q210" i="1"/>
  <c r="H210" i="1" s="1"/>
  <c r="A209" i="1"/>
  <c r="Q208" i="1"/>
  <c r="H208" i="1"/>
  <c r="Q207" i="1"/>
  <c r="H207" i="1" s="1"/>
  <c r="A206" i="1"/>
  <c r="Q205" i="1"/>
  <c r="H205" i="1" s="1"/>
  <c r="Q204" i="1"/>
  <c r="H204" i="1" s="1"/>
  <c r="Q203" i="1"/>
  <c r="H203" i="1" s="1"/>
  <c r="Q202" i="1"/>
  <c r="H202" i="1"/>
  <c r="A201" i="1"/>
  <c r="Q200" i="1"/>
  <c r="H200" i="1" s="1"/>
  <c r="Q199" i="1"/>
  <c r="H199" i="1" s="1"/>
  <c r="Q198" i="1"/>
  <c r="H198" i="1"/>
  <c r="Q197" i="1"/>
  <c r="H197" i="1" s="1"/>
  <c r="Q196" i="1"/>
  <c r="H196" i="1" s="1"/>
  <c r="Q195" i="1"/>
  <c r="H195" i="1" s="1"/>
  <c r="A194" i="1"/>
  <c r="Q193" i="1"/>
  <c r="H193" i="1" s="1"/>
  <c r="A192" i="1"/>
  <c r="Q191" i="1"/>
  <c r="H191" i="1" s="1"/>
  <c r="A190" i="1"/>
  <c r="Q189" i="1"/>
  <c r="H189" i="1" s="1"/>
  <c r="Q188" i="1"/>
  <c r="H188" i="1"/>
  <c r="A187" i="1"/>
  <c r="Q186" i="1"/>
  <c r="H186" i="1" s="1"/>
  <c r="A185" i="1"/>
  <c r="Q184" i="1"/>
  <c r="H184" i="1"/>
  <c r="Q183" i="1"/>
  <c r="H183" i="1" s="1"/>
  <c r="Q182" i="1"/>
  <c r="H182" i="1" s="1"/>
  <c r="Q181" i="1"/>
  <c r="H181" i="1" s="1"/>
  <c r="Q180" i="1"/>
  <c r="H180" i="1"/>
  <c r="Q179" i="1"/>
  <c r="H179" i="1" s="1"/>
  <c r="Q178" i="1"/>
  <c r="H178" i="1" s="1"/>
  <c r="Q177" i="1"/>
  <c r="H177" i="1" s="1"/>
  <c r="Q176" i="1"/>
  <c r="H176" i="1"/>
  <c r="A175" i="1"/>
  <c r="Q174" i="1"/>
  <c r="H174" i="1" s="1"/>
  <c r="A173" i="1"/>
  <c r="Q172" i="1"/>
  <c r="H172" i="1"/>
  <c r="Q171" i="1"/>
  <c r="H171" i="1" s="1"/>
  <c r="Q170" i="1"/>
  <c r="H170" i="1" s="1"/>
  <c r="A169" i="1"/>
  <c r="Q168" i="1"/>
  <c r="H168" i="1"/>
  <c r="Q167" i="1"/>
  <c r="H167" i="1" s="1"/>
  <c r="Q166" i="1"/>
  <c r="H166" i="1" s="1"/>
  <c r="Q165" i="1"/>
  <c r="H165" i="1" s="1"/>
  <c r="A164" i="1"/>
  <c r="Q163" i="1"/>
  <c r="H163" i="1" s="1"/>
  <c r="Q162" i="1"/>
  <c r="H162" i="1"/>
  <c r="A161" i="1"/>
  <c r="Q160" i="1"/>
  <c r="H160" i="1" s="1"/>
  <c r="A159" i="1"/>
  <c r="A158" i="1"/>
  <c r="Q157" i="1"/>
  <c r="H157" i="1" s="1"/>
  <c r="A156" i="1"/>
  <c r="Q155" i="1"/>
  <c r="H155" i="1" s="1"/>
  <c r="A154" i="1"/>
  <c r="Q153" i="1"/>
  <c r="H153" i="1" s="1"/>
  <c r="A152" i="1"/>
  <c r="Q151" i="1"/>
  <c r="H151" i="1" s="1"/>
  <c r="Q150" i="1"/>
  <c r="H150" i="1"/>
  <c r="Q149" i="1"/>
  <c r="H149" i="1" s="1"/>
  <c r="A148" i="1"/>
  <c r="Q147" i="1"/>
  <c r="H147" i="1" s="1"/>
  <c r="Q145" i="1"/>
  <c r="H145" i="1" s="1"/>
  <c r="Q143" i="1"/>
  <c r="H143" i="1" s="1"/>
  <c r="Q141" i="1"/>
  <c r="H141" i="1" s="1"/>
  <c r="Q138" i="1"/>
  <c r="H138" i="1" s="1"/>
  <c r="A137" i="1"/>
  <c r="Q136" i="1"/>
  <c r="H136" i="1"/>
  <c r="A135" i="1"/>
  <c r="A134" i="1"/>
  <c r="Q133" i="1"/>
  <c r="H133" i="1" s="1"/>
  <c r="A132" i="1"/>
  <c r="Q131" i="1"/>
  <c r="H131" i="1" s="1"/>
  <c r="Q130" i="1"/>
  <c r="H130" i="1" s="1"/>
  <c r="A129" i="1"/>
  <c r="A128" i="1"/>
  <c r="Q127" i="1"/>
  <c r="H127" i="1" s="1"/>
  <c r="A126" i="1"/>
  <c r="Q125" i="1"/>
  <c r="H125" i="1" s="1"/>
  <c r="Q124" i="1"/>
  <c r="H124" i="1"/>
  <c r="Q123" i="1"/>
  <c r="H123" i="1" s="1"/>
  <c r="Q122" i="1"/>
  <c r="H122" i="1" s="1"/>
  <c r="M121" i="1" s="1"/>
  <c r="F121" i="1"/>
  <c r="D121" i="1"/>
  <c r="A121" i="1"/>
  <c r="A120" i="1"/>
  <c r="Q119" i="1"/>
  <c r="H119" i="1" s="1"/>
  <c r="Q118" i="1"/>
  <c r="H118" i="1" s="1"/>
  <c r="Q117" i="1"/>
  <c r="H117" i="1" s="1"/>
  <c r="Q116" i="1"/>
  <c r="H116" i="1"/>
  <c r="Q115" i="1"/>
  <c r="H115" i="1" s="1"/>
  <c r="A114" i="1"/>
  <c r="Q113" i="1"/>
  <c r="H113" i="1" s="1"/>
  <c r="A112" i="1"/>
  <c r="Q111" i="1"/>
  <c r="H111" i="1" s="1"/>
  <c r="A110" i="1"/>
  <c r="Q109" i="1"/>
  <c r="H109" i="1" s="1"/>
  <c r="AD108" i="1"/>
  <c r="Q108" i="1"/>
  <c r="H108" i="1" s="1"/>
  <c r="AD107" i="1"/>
  <c r="F107" i="1"/>
  <c r="D107" i="1"/>
  <c r="A107" i="1"/>
  <c r="AD106" i="1"/>
  <c r="Q106" i="1"/>
  <c r="H106" i="1" s="1"/>
  <c r="AD105" i="1"/>
  <c r="Q105" i="1"/>
  <c r="H105" i="1" s="1"/>
  <c r="AD104" i="1"/>
  <c r="AF104" i="1" s="1"/>
  <c r="Q107" i="1" s="1"/>
  <c r="A104" i="1"/>
  <c r="Q103" i="1"/>
  <c r="H103" i="1" s="1"/>
  <c r="AD102" i="1"/>
  <c r="Q102" i="1"/>
  <c r="H102" i="1"/>
  <c r="AD101" i="1"/>
  <c r="Q101" i="1"/>
  <c r="H101" i="1" s="1"/>
  <c r="AD100" i="1"/>
  <c r="Q100" i="1"/>
  <c r="H100" i="1"/>
  <c r="AD99" i="1"/>
  <c r="A99" i="1"/>
  <c r="AD98" i="1"/>
  <c r="Q98" i="1"/>
  <c r="H98" i="1" s="1"/>
  <c r="AD97" i="1"/>
  <c r="AE96" i="1" s="1"/>
  <c r="Q97" i="1"/>
  <c r="H97" i="1"/>
  <c r="AD96" i="1"/>
  <c r="Q96" i="1"/>
  <c r="H96" i="1" s="1"/>
  <c r="Q95" i="1"/>
  <c r="H95" i="1"/>
  <c r="Q94" i="1"/>
  <c r="H94" i="1" s="1"/>
  <c r="Q93" i="1"/>
  <c r="H93" i="1" s="1"/>
  <c r="Q92" i="1"/>
  <c r="H92" i="1" s="1"/>
  <c r="Q91" i="1"/>
  <c r="H91" i="1"/>
  <c r="Q90" i="1"/>
  <c r="H90" i="1" s="1"/>
  <c r="Q89" i="1"/>
  <c r="H89" i="1" s="1"/>
  <c r="N87" i="1" s="1"/>
  <c r="Q88" i="1"/>
  <c r="H88" i="1" s="1"/>
  <c r="L87" i="1" s="1"/>
  <c r="F87" i="1"/>
  <c r="F86" i="1" s="1"/>
  <c r="D87" i="1"/>
  <c r="A87" i="1"/>
  <c r="D86" i="1"/>
  <c r="A85" i="1"/>
  <c r="Q84" i="1"/>
  <c r="H84" i="1" s="1"/>
  <c r="A83" i="1"/>
  <c r="A82" i="1"/>
  <c r="Q81" i="1"/>
  <c r="H81" i="1" s="1"/>
  <c r="Q80" i="1"/>
  <c r="H80" i="1"/>
  <c r="A79" i="1"/>
  <c r="A78" i="1"/>
  <c r="Q77" i="1"/>
  <c r="H77" i="1" s="1"/>
  <c r="A76" i="1"/>
  <c r="Q75" i="1"/>
  <c r="H75" i="1" s="1"/>
  <c r="A74" i="1"/>
  <c r="A73" i="1"/>
  <c r="Q72" i="1"/>
  <c r="H72" i="1" s="1"/>
  <c r="A71" i="1"/>
  <c r="Q70" i="1"/>
  <c r="H70" i="1"/>
  <c r="A69" i="1"/>
  <c r="Q68" i="1"/>
  <c r="H68" i="1" s="1"/>
  <c r="A67" i="1"/>
  <c r="Q66" i="1"/>
  <c r="H66" i="1"/>
  <c r="A65" i="1"/>
  <c r="Q64" i="1"/>
  <c r="H64" i="1" s="1"/>
  <c r="A63" i="1"/>
  <c r="Q62" i="1"/>
  <c r="H62" i="1"/>
  <c r="A61" i="1"/>
  <c r="A60" i="1"/>
  <c r="Q59" i="1"/>
  <c r="H59" i="1" s="1"/>
  <c r="A58" i="1"/>
  <c r="Q57" i="1"/>
  <c r="H57" i="1" s="1"/>
  <c r="A56" i="1"/>
  <c r="Q55" i="1"/>
  <c r="F54" i="1"/>
  <c r="D54" i="1"/>
  <c r="A54" i="1"/>
  <c r="Q53" i="1"/>
  <c r="H53" i="1" s="1"/>
  <c r="Q52" i="1"/>
  <c r="H52" i="1" s="1"/>
  <c r="Q50" i="1"/>
  <c r="A49" i="1"/>
  <c r="Q48" i="1"/>
  <c r="H48" i="1" s="1"/>
  <c r="Q47" i="1"/>
  <c r="H47" i="1" s="1"/>
  <c r="A46" i="1"/>
  <c r="Q45" i="1"/>
  <c r="H45" i="1"/>
  <c r="Q44" i="1"/>
  <c r="H44" i="1" s="1"/>
  <c r="A43" i="1"/>
  <c r="Q42" i="1"/>
  <c r="H42" i="1" s="1"/>
  <c r="Q41" i="1"/>
  <c r="H41" i="1" s="1"/>
  <c r="Q40" i="1"/>
  <c r="F40" i="1"/>
  <c r="D40" i="1"/>
  <c r="A40" i="1"/>
  <c r="A39" i="1"/>
  <c r="Q38" i="1"/>
  <c r="H38" i="1" s="1"/>
  <c r="Q37" i="1"/>
  <c r="H37" i="1" s="1"/>
  <c r="Q36" i="1"/>
  <c r="H36" i="1"/>
  <c r="Q35" i="1"/>
  <c r="H35" i="1" s="1"/>
  <c r="Q34" i="1"/>
  <c r="H34" i="1" s="1"/>
  <c r="Q33" i="1"/>
  <c r="H33" i="1" s="1"/>
  <c r="Q32" i="1"/>
  <c r="H32" i="1" s="1"/>
  <c r="I32" i="1"/>
  <c r="F31" i="1"/>
  <c r="F30" i="1" s="1"/>
  <c r="D31" i="1"/>
  <c r="A31" i="1"/>
  <c r="D30" i="1"/>
  <c r="Q29" i="1"/>
  <c r="H29" i="1" s="1"/>
  <c r="Q28" i="1"/>
  <c r="H28" i="1" s="1"/>
  <c r="B28" i="1"/>
  <c r="Q27" i="1"/>
  <c r="F27" i="1"/>
  <c r="A27" i="1"/>
  <c r="Q26" i="1"/>
  <c r="H26" i="1"/>
  <c r="Q25" i="1"/>
  <c r="H25" i="1"/>
  <c r="Q22" i="1"/>
  <c r="H22" i="1"/>
  <c r="Q21" i="1"/>
  <c r="H21" i="1"/>
  <c r="Q20" i="1"/>
  <c r="H20" i="1"/>
  <c r="Q19" i="1"/>
  <c r="H19" i="1"/>
  <c r="Q18" i="1"/>
  <c r="H18" i="1"/>
  <c r="M17" i="1" s="1"/>
  <c r="B18" i="1"/>
  <c r="Q17" i="1"/>
  <c r="F17" i="1"/>
  <c r="A17" i="1"/>
  <c r="Q16" i="1"/>
  <c r="H16" i="1" s="1"/>
  <c r="Q15" i="1"/>
  <c r="H15" i="1" s="1"/>
  <c r="Q14" i="1"/>
  <c r="H14" i="1" s="1"/>
  <c r="Q13" i="1"/>
  <c r="H13" i="1" s="1"/>
  <c r="Q12" i="1"/>
  <c r="H12" i="1" s="1"/>
  <c r="A12" i="1"/>
  <c r="F11" i="1"/>
  <c r="D11" i="1"/>
  <c r="B43" i="7" l="1"/>
  <c r="B82" i="7"/>
  <c r="B21" i="4"/>
  <c r="B17" i="4"/>
  <c r="L17" i="1"/>
  <c r="Q87" i="1"/>
  <c r="N17" i="1"/>
  <c r="AG104" i="1"/>
  <c r="M228" i="1"/>
  <c r="M270" i="1"/>
  <c r="D323" i="1"/>
  <c r="Q228" i="1"/>
  <c r="M306" i="1"/>
  <c r="Q317" i="1"/>
  <c r="F10" i="1"/>
  <c r="M40" i="1"/>
  <c r="M107" i="1"/>
  <c r="D31" i="2"/>
  <c r="N312" i="2"/>
  <c r="F327" i="2"/>
  <c r="M312" i="2"/>
  <c r="L312" i="2"/>
  <c r="M10" i="2"/>
  <c r="N300" i="2"/>
  <c r="M78" i="2"/>
  <c r="M300" i="2"/>
  <c r="Q10" i="2"/>
  <c r="L78" i="2"/>
  <c r="N78" i="2"/>
  <c r="Q227" i="2"/>
  <c r="Q78" i="2"/>
  <c r="M270" i="2"/>
  <c r="M227" i="2" s="1"/>
  <c r="L270" i="2"/>
  <c r="L227" i="2" s="1"/>
  <c r="N270" i="2"/>
  <c r="N227" i="2" s="1"/>
  <c r="Q30" i="2"/>
  <c r="M38" i="2"/>
  <c r="L38" i="2"/>
  <c r="N38" i="2"/>
  <c r="M31" i="2"/>
  <c r="L31" i="2"/>
  <c r="N31" i="2"/>
  <c r="N10" i="2"/>
  <c r="L10" i="2"/>
  <c r="F326" i="1"/>
  <c r="M11" i="1"/>
  <c r="N11" i="1"/>
  <c r="L11" i="1"/>
  <c r="N27" i="1"/>
  <c r="L27" i="1"/>
  <c r="M27" i="1"/>
  <c r="M31" i="1"/>
  <c r="N31" i="1"/>
  <c r="L31" i="1"/>
  <c r="B29" i="1"/>
  <c r="N121" i="1"/>
  <c r="L121" i="1"/>
  <c r="H255" i="1"/>
  <c r="Q254" i="1"/>
  <c r="B319" i="1"/>
  <c r="B320" i="1"/>
  <c r="B321" i="1" s="1"/>
  <c r="Q11" i="1"/>
  <c r="Q10" i="1" s="1"/>
  <c r="A13" i="1"/>
  <c r="B19" i="1"/>
  <c r="B20" i="1"/>
  <c r="B21" i="1" s="1"/>
  <c r="D27" i="1"/>
  <c r="Q31" i="1"/>
  <c r="N40" i="1"/>
  <c r="L40" i="1"/>
  <c r="H55" i="1"/>
  <c r="Q54" i="1"/>
  <c r="M87" i="1"/>
  <c r="M86" i="1" s="1"/>
  <c r="N107" i="1"/>
  <c r="N86" i="1" s="1"/>
  <c r="L107" i="1"/>
  <c r="Q121" i="1"/>
  <c r="Q86" i="1" s="1"/>
  <c r="N228" i="1"/>
  <c r="L228" i="1"/>
  <c r="Q270" i="1"/>
  <c r="N270" i="1"/>
  <c r="L270" i="1"/>
  <c r="H301" i="1"/>
  <c r="Q300" i="1"/>
  <c r="N306" i="1"/>
  <c r="L306" i="1"/>
  <c r="H313" i="1"/>
  <c r="Q312" i="1"/>
  <c r="Q311" i="1" s="1"/>
  <c r="Q306" i="1" s="1"/>
  <c r="N317" i="1"/>
  <c r="L317" i="1"/>
  <c r="B85" i="7" l="1"/>
  <c r="B88" i="7" s="1"/>
  <c r="B45" i="7"/>
  <c r="D6" i="4"/>
  <c r="B23" i="4"/>
  <c r="Q30" i="1"/>
  <c r="L86" i="1"/>
  <c r="L30" i="2"/>
  <c r="N30" i="2"/>
  <c r="M30" i="2"/>
  <c r="B22" i="1"/>
  <c r="B322" i="1"/>
  <c r="Q299" i="1"/>
  <c r="M312" i="1"/>
  <c r="M311" i="1" s="1"/>
  <c r="N312" i="1"/>
  <c r="N311" i="1" s="1"/>
  <c r="L312" i="1"/>
  <c r="L311" i="1" s="1"/>
  <c r="M300" i="1"/>
  <c r="M299" i="1" s="1"/>
  <c r="N300" i="1"/>
  <c r="N299" i="1" s="1"/>
  <c r="L300" i="1"/>
  <c r="L299" i="1" s="1"/>
  <c r="B25" i="1"/>
  <c r="A14" i="1"/>
  <c r="Q227" i="1"/>
  <c r="M54" i="1"/>
  <c r="N54" i="1"/>
  <c r="N30" i="1" s="1"/>
  <c r="L54" i="1"/>
  <c r="V10" i="1"/>
  <c r="X10" i="1" s="1"/>
  <c r="D311" i="1"/>
  <c r="D317" i="1"/>
  <c r="M254" i="1"/>
  <c r="M227" i="1" s="1"/>
  <c r="L254" i="1"/>
  <c r="L227" i="1" s="1"/>
  <c r="N254" i="1"/>
  <c r="N227" i="1" s="1"/>
  <c r="N10" i="1"/>
  <c r="L30" i="1"/>
  <c r="M30" i="1"/>
  <c r="L10" i="1"/>
  <c r="M10" i="1"/>
  <c r="B47" i="7" l="1"/>
  <c r="B89" i="7"/>
  <c r="B24" i="4"/>
  <c r="B26" i="4" s="1"/>
  <c r="A18" i="1"/>
  <c r="B26" i="1"/>
  <c r="C326" i="1" s="1"/>
  <c r="B90" i="7" l="1"/>
  <c r="B49" i="7"/>
  <c r="B27" i="4"/>
  <c r="A19" i="1"/>
  <c r="D17" i="1"/>
  <c r="D10" i="1"/>
  <c r="B51" i="7" l="1"/>
  <c r="B92" i="7"/>
  <c r="B28" i="4"/>
  <c r="A20" i="1"/>
  <c r="A21" i="1" s="1"/>
  <c r="B93" i="7" l="1"/>
  <c r="B54" i="7"/>
  <c r="B30" i="4"/>
  <c r="A22" i="1"/>
  <c r="B57" i="7" l="1"/>
  <c r="B95" i="7"/>
  <c r="B33" i="4"/>
  <c r="A25" i="1"/>
  <c r="B98" i="7" l="1"/>
  <c r="B59" i="7"/>
  <c r="B35" i="4"/>
  <c r="A26" i="1"/>
  <c r="A28" i="1" s="1"/>
  <c r="A29" i="1" s="1"/>
  <c r="A32" i="1" s="1"/>
  <c r="A33" i="1" s="1"/>
  <c r="A34" i="1" s="1"/>
  <c r="A35" i="1" s="1"/>
  <c r="A36" i="1" s="1"/>
  <c r="A37" i="1" s="1"/>
  <c r="A38" i="1" s="1"/>
  <c r="A41" i="1" s="1"/>
  <c r="A42" i="1" s="1"/>
  <c r="A44" i="1" s="1"/>
  <c r="A45" i="1" s="1"/>
  <c r="A47" i="1" s="1"/>
  <c r="A16" i="2"/>
  <c r="D11" i="2"/>
  <c r="B61" i="7" l="1"/>
  <c r="B100" i="7"/>
  <c r="B37" i="4"/>
  <c r="A48" i="1"/>
  <c r="A55" i="1" s="1"/>
  <c r="A57" i="1" s="1"/>
  <c r="A59" i="1" s="1"/>
  <c r="A62" i="1" s="1"/>
  <c r="A64" i="1" s="1"/>
  <c r="A66" i="1" s="1"/>
  <c r="A68" i="1" s="1"/>
  <c r="A70" i="1" s="1"/>
  <c r="A72" i="1" s="1"/>
  <c r="A75" i="1" s="1"/>
  <c r="A77" i="1" s="1"/>
  <c r="A80" i="1" s="1"/>
  <c r="A81" i="1" s="1"/>
  <c r="A84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100" i="1" s="1"/>
  <c r="A101" i="1" s="1"/>
  <c r="A102" i="1" s="1"/>
  <c r="A103" i="1" s="1"/>
  <c r="A105" i="1" s="1"/>
  <c r="A106" i="1" s="1"/>
  <c r="A108" i="1" s="1"/>
  <c r="A109" i="1" s="1"/>
  <c r="A111" i="1" s="1"/>
  <c r="A113" i="1" s="1"/>
  <c r="A115" i="1" s="1"/>
  <c r="A116" i="1" s="1"/>
  <c r="A117" i="1" s="1"/>
  <c r="A118" i="1" s="1"/>
  <c r="A119" i="1" s="1"/>
  <c r="A122" i="1" s="1"/>
  <c r="A123" i="1" s="1"/>
  <c r="A124" i="1" s="1"/>
  <c r="A125" i="1" s="1"/>
  <c r="A127" i="1" s="1"/>
  <c r="A130" i="1" s="1"/>
  <c r="A131" i="1" s="1"/>
  <c r="A133" i="1" s="1"/>
  <c r="A136" i="1" s="1"/>
  <c r="A149" i="1" s="1"/>
  <c r="A150" i="1" s="1"/>
  <c r="A151" i="1" s="1"/>
  <c r="A153" i="1" s="1"/>
  <c r="A155" i="1" s="1"/>
  <c r="A157" i="1" s="1"/>
  <c r="A160" i="1" s="1"/>
  <c r="A162" i="1" s="1"/>
  <c r="A163" i="1" s="1"/>
  <c r="A165" i="1" s="1"/>
  <c r="A166" i="1" s="1"/>
  <c r="A167" i="1" s="1"/>
  <c r="A168" i="1" s="1"/>
  <c r="A170" i="1" s="1"/>
  <c r="A171" i="1" s="1"/>
  <c r="A172" i="1" s="1"/>
  <c r="A174" i="1" s="1"/>
  <c r="A176" i="1" s="1"/>
  <c r="A177" i="1" s="1"/>
  <c r="A178" i="1" s="1"/>
  <c r="A179" i="1" s="1"/>
  <c r="A180" i="1" s="1"/>
  <c r="A181" i="1" s="1"/>
  <c r="A182" i="1" s="1"/>
  <c r="A183" i="1" s="1"/>
  <c r="A184" i="1" s="1"/>
  <c r="A186" i="1" s="1"/>
  <c r="A188" i="1" s="1"/>
  <c r="A189" i="1" s="1"/>
  <c r="A191" i="1" s="1"/>
  <c r="A193" i="1" s="1"/>
  <c r="A195" i="1" s="1"/>
  <c r="A196" i="1" s="1"/>
  <c r="A197" i="1" s="1"/>
  <c r="A198" i="1" s="1"/>
  <c r="A199" i="1" s="1"/>
  <c r="A200" i="1" s="1"/>
  <c r="A202" i="1" s="1"/>
  <c r="A203" i="1" s="1"/>
  <c r="A204" i="1" s="1"/>
  <c r="A205" i="1" s="1"/>
  <c r="A207" i="1" s="1"/>
  <c r="A208" i="1" s="1"/>
  <c r="A210" i="1" s="1"/>
  <c r="A212" i="1" s="1"/>
  <c r="A213" i="1" s="1"/>
  <c r="A214" i="1" s="1"/>
  <c r="A215" i="1" s="1"/>
  <c r="A216" i="1" s="1"/>
  <c r="A217" i="1" s="1"/>
  <c r="A219" i="1" s="1"/>
  <c r="A220" i="1" s="1"/>
  <c r="A222" i="1" s="1"/>
  <c r="A223" i="1" s="1"/>
  <c r="A224" i="1" s="1"/>
  <c r="A226" i="1" s="1"/>
  <c r="A229" i="1" s="1"/>
  <c r="A230" i="1" s="1"/>
  <c r="A231" i="1" s="1"/>
  <c r="A232" i="1" s="1"/>
  <c r="A233" i="1" s="1"/>
  <c r="A235" i="1" s="1"/>
  <c r="A236" i="1" s="1"/>
  <c r="A237" i="1" s="1"/>
  <c r="A238" i="1" s="1"/>
  <c r="A239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5" i="1" s="1"/>
  <c r="A258" i="1" s="1"/>
  <c r="A259" i="1" s="1"/>
  <c r="A263" i="1" s="1"/>
  <c r="A264" i="1" s="1"/>
  <c r="A265" i="1" s="1"/>
  <c r="A266" i="1" s="1"/>
  <c r="A267" i="1" s="1"/>
  <c r="A268" i="1" s="1"/>
  <c r="A271" i="1" s="1"/>
  <c r="A272" i="1" s="1"/>
  <c r="A273" i="1" s="1"/>
  <c r="A274" i="1" s="1"/>
  <c r="A275" i="1" s="1"/>
  <c r="A276" i="1" s="1"/>
  <c r="A277" i="1" s="1"/>
  <c r="A278" i="1" s="1"/>
  <c r="A279" i="1" s="1"/>
  <c r="A282" i="1" s="1"/>
  <c r="A283" i="1" s="1"/>
  <c r="A284" i="1" s="1"/>
  <c r="A285" i="1" s="1"/>
  <c r="A287" i="1" s="1"/>
  <c r="A288" i="1" s="1"/>
  <c r="A289" i="1" s="1"/>
  <c r="A291" i="1" s="1"/>
  <c r="A292" i="1" s="1"/>
  <c r="A293" i="1" s="1"/>
  <c r="A294" i="1" s="1"/>
  <c r="A296" i="1" s="1"/>
  <c r="A297" i="1" s="1"/>
  <c r="A301" i="1" s="1"/>
  <c r="A304" i="1" s="1"/>
  <c r="A307" i="1" s="1"/>
  <c r="A308" i="1" s="1"/>
  <c r="A310" i="1" s="1"/>
  <c r="A313" i="1" s="1"/>
  <c r="A314" i="1" s="1"/>
  <c r="A315" i="1" s="1"/>
  <c r="A316" i="1" s="1"/>
  <c r="A318" i="1" s="1"/>
  <c r="A319" i="1" s="1"/>
  <c r="A320" i="1" s="1"/>
  <c r="A321" i="1" s="1"/>
  <c r="A322" i="1" s="1"/>
  <c r="A325" i="1" s="1"/>
  <c r="D17" i="2"/>
  <c r="D27" i="2"/>
  <c r="D10" i="2"/>
  <c r="D270" i="2"/>
  <c r="D227" i="2"/>
  <c r="B102" i="7" l="1"/>
  <c r="B64" i="7"/>
  <c r="B39" i="4"/>
  <c r="D318" i="2"/>
  <c r="D312" i="2"/>
  <c r="B103" i="7" l="1"/>
  <c r="B41" i="4"/>
  <c r="B40" i="2"/>
  <c r="B104" i="7" l="1"/>
  <c r="B106" i="7" s="1"/>
  <c r="B43" i="4"/>
  <c r="B41" i="2"/>
  <c r="B43" i="2" s="1"/>
  <c r="B107" i="7" l="1"/>
  <c r="B46" i="4"/>
  <c r="B44" i="2"/>
  <c r="B46" i="2" s="1"/>
  <c r="B109" i="7" l="1"/>
  <c r="B49" i="4"/>
  <c r="B47" i="2"/>
  <c r="D38" i="2" s="1"/>
  <c r="B111" i="7" l="1"/>
  <c r="B51" i="4"/>
  <c r="B59" i="4"/>
  <c r="B49" i="2"/>
  <c r="B112" i="7" l="1"/>
  <c r="B53" i="4"/>
  <c r="B60" i="4"/>
  <c r="B51" i="2"/>
  <c r="B54" i="2" s="1"/>
  <c r="B56" i="2" s="1"/>
  <c r="B113" i="7" l="1"/>
  <c r="B56" i="4"/>
  <c r="B62" i="4"/>
  <c r="B58" i="2"/>
  <c r="B115" i="7" l="1"/>
  <c r="B63" i="4"/>
  <c r="D18" i="4"/>
  <c r="B60" i="2"/>
  <c r="B116" i="7" l="1"/>
  <c r="B64" i="4"/>
  <c r="B62" i="2"/>
  <c r="B117" i="7" l="1"/>
  <c r="B65" i="4"/>
  <c r="B64" i="2"/>
  <c r="B67" i="2" s="1"/>
  <c r="B70" i="2" s="1"/>
  <c r="B118" i="7" l="1"/>
  <c r="B67" i="4"/>
  <c r="B72" i="2"/>
  <c r="B119" i="7" l="1"/>
  <c r="B69" i="4"/>
  <c r="B74" i="2"/>
  <c r="B121" i="7" l="1"/>
  <c r="B70" i="4"/>
  <c r="B77" i="2"/>
  <c r="B122" i="7" l="1"/>
  <c r="B72" i="4"/>
  <c r="D30" i="2"/>
  <c r="D48" i="2"/>
  <c r="B124" i="7" l="1"/>
  <c r="B74" i="4"/>
  <c r="B81" i="2"/>
  <c r="B127" i="7" l="1"/>
  <c r="B77" i="4"/>
  <c r="B80" i="4" s="1"/>
  <c r="B82" i="2"/>
  <c r="B128" i="7" l="1"/>
  <c r="B81" i="4"/>
  <c r="B83" i="2"/>
  <c r="B129" i="7" l="1"/>
  <c r="B82" i="4"/>
  <c r="B84" i="2"/>
  <c r="B131" i="7" l="1"/>
  <c r="B84" i="4"/>
  <c r="B85" i="2"/>
  <c r="B132" i="7" l="1"/>
  <c r="B85" i="4"/>
  <c r="B86" i="2"/>
  <c r="B133" i="7" l="1"/>
  <c r="B87" i="4"/>
  <c r="B87" i="2"/>
  <c r="B134" i="7" l="1"/>
  <c r="B90" i="4"/>
  <c r="B88" i="2"/>
  <c r="B135" i="7" l="1"/>
  <c r="B92" i="4"/>
  <c r="B90" i="2"/>
  <c r="B137" i="7" l="1"/>
  <c r="B94" i="4"/>
  <c r="B91" i="2"/>
  <c r="B139" i="7" l="1"/>
  <c r="B95" i="4"/>
  <c r="B92" i="2"/>
  <c r="B140" i="7" l="1"/>
  <c r="B96" i="4"/>
  <c r="B98" i="4" s="1"/>
  <c r="B94" i="2"/>
  <c r="B141" i="7" l="1"/>
  <c r="B99" i="4"/>
  <c r="B95" i="2"/>
  <c r="B143" i="7" l="1"/>
  <c r="B101" i="4"/>
  <c r="B96" i="2"/>
  <c r="B144" i="7" l="1"/>
  <c r="B103" i="4"/>
  <c r="B97" i="2"/>
  <c r="B145" i="7" l="1"/>
  <c r="B104" i="4"/>
  <c r="B98" i="2"/>
  <c r="B146" i="7" l="1"/>
  <c r="B105" i="4"/>
  <c r="B99" i="2"/>
  <c r="B148" i="7" l="1"/>
  <c r="B107" i="4"/>
  <c r="B100" i="2"/>
  <c r="B103" i="2" s="1"/>
  <c r="B104" i="2" s="1"/>
  <c r="B149" i="7" l="1"/>
  <c r="B108" i="4"/>
  <c r="B105" i="2"/>
  <c r="D79" i="2"/>
  <c r="B151" i="7" l="1"/>
  <c r="B153" i="7" s="1"/>
  <c r="B155" i="7" s="1"/>
  <c r="B157" i="7" s="1"/>
  <c r="B109" i="4"/>
  <c r="B107" i="2"/>
  <c r="B158" i="7" l="1"/>
  <c r="B110" i="4"/>
  <c r="B108" i="2"/>
  <c r="B159" i="7" l="1"/>
  <c r="B111" i="4"/>
  <c r="B109" i="2"/>
  <c r="C246" i="7" l="1"/>
  <c r="B113" i="4"/>
  <c r="B110" i="2"/>
  <c r="B114" i="4" l="1"/>
  <c r="B112" i="2"/>
  <c r="B116" i="4" l="1"/>
  <c r="B114" i="2"/>
  <c r="B119" i="4" l="1"/>
  <c r="B115" i="2"/>
  <c r="B117" i="2" s="1"/>
  <c r="B120" i="2" s="1"/>
  <c r="B123" i="2" s="1"/>
  <c r="B126" i="2" s="1"/>
  <c r="B120" i="4" l="1"/>
  <c r="D102" i="2"/>
  <c r="B121" i="4" l="1"/>
  <c r="B127" i="2"/>
  <c r="B128" i="2" s="1"/>
  <c r="B130" i="2" s="1"/>
  <c r="B131" i="2" s="1"/>
  <c r="B133" i="2" s="1"/>
  <c r="B136" i="2" s="1"/>
  <c r="B138" i="2" s="1"/>
  <c r="B140" i="2" s="1"/>
  <c r="B141" i="2" s="1"/>
  <c r="B142" i="2" s="1"/>
  <c r="B144" i="2" s="1"/>
  <c r="B145" i="2" s="1"/>
  <c r="B147" i="2" s="1"/>
  <c r="B149" i="2" s="1"/>
  <c r="B150" i="2" s="1"/>
  <c r="B151" i="2" s="1"/>
  <c r="B153" i="2" s="1"/>
  <c r="B154" i="2" s="1"/>
  <c r="B155" i="2" s="1"/>
  <c r="B156" i="2" s="1"/>
  <c r="B157" i="2" s="1"/>
  <c r="B159" i="2" s="1"/>
  <c r="B160" i="2" s="1"/>
  <c r="B162" i="2" s="1"/>
  <c r="B165" i="2" s="1"/>
  <c r="B166" i="2" s="1"/>
  <c r="B167" i="2" s="1"/>
  <c r="B169" i="2" s="1"/>
  <c r="B170" i="2" s="1"/>
  <c r="B171" i="2" s="1"/>
  <c r="B172" i="2" s="1"/>
  <c r="B173" i="2" s="1"/>
  <c r="B175" i="2" s="1"/>
  <c r="B177" i="2" s="1"/>
  <c r="B178" i="2" s="1"/>
  <c r="B179" i="2" s="1"/>
  <c r="B181" i="2" s="1"/>
  <c r="B182" i="2" s="1"/>
  <c r="B183" i="2" s="1"/>
  <c r="B184" i="2" s="1"/>
  <c r="B186" i="2" s="1"/>
  <c r="B187" i="2" s="1"/>
  <c r="B189" i="2" s="1"/>
  <c r="B191" i="2" s="1"/>
  <c r="B193" i="2" s="1"/>
  <c r="B195" i="2" s="1"/>
  <c r="B196" i="2" s="1"/>
  <c r="B197" i="2" s="1"/>
  <c r="B123" i="4" l="1"/>
  <c r="D119" i="2"/>
  <c r="D78" i="2"/>
  <c r="C327" i="2"/>
  <c r="B124" i="4" l="1"/>
  <c r="A53" i="2"/>
  <c r="A57" i="2"/>
  <c r="A66" i="2"/>
  <c r="A69" i="2"/>
  <c r="A122" i="2"/>
  <c r="A55" i="2"/>
  <c r="B125" i="4" l="1"/>
  <c r="A202" i="2"/>
  <c r="A198" i="2"/>
  <c r="A200" i="2"/>
  <c r="A214" i="2"/>
  <c r="B126" i="4" l="1"/>
  <c r="B127" i="4" l="1"/>
  <c r="B129" i="4" l="1"/>
  <c r="B131" i="4" l="1"/>
  <c r="B132" i="4" l="1"/>
  <c r="B133" i="4" l="1"/>
  <c r="B135" i="4" l="1"/>
  <c r="B136" i="4" l="1"/>
  <c r="B137" i="4" l="1"/>
  <c r="B138" i="4" l="1"/>
  <c r="B140" i="4" l="1"/>
  <c r="B141" i="4" l="1"/>
  <c r="B143" i="4" l="1"/>
  <c r="B145" i="4" s="1"/>
  <c r="B147" i="4" s="1"/>
  <c r="B149" i="4" s="1"/>
  <c r="B150" i="4" l="1"/>
  <c r="B151" i="4" l="1"/>
  <c r="C238" i="4" l="1"/>
  <c r="D57" i="4"/>
  <c r="A7" i="4"/>
  <c r="A14" i="4" l="1"/>
  <c r="A233" i="4"/>
  <c r="A167" i="4"/>
  <c r="A9" i="4"/>
  <c r="A108" i="4"/>
  <c r="A213" i="4"/>
  <c r="A174" i="4"/>
  <c r="A223" i="4"/>
  <c r="A65" i="4"/>
  <c r="A217" i="4"/>
  <c r="A124" i="4"/>
  <c r="A56" i="4"/>
  <c r="A90" i="4"/>
  <c r="A159" i="4"/>
  <c r="A37" i="4"/>
  <c r="A67" i="4"/>
  <c r="A155" i="4"/>
  <c r="A84" i="4"/>
  <c r="A150" i="4"/>
  <c r="A160" i="4"/>
  <c r="A104" i="4"/>
  <c r="A231" i="4"/>
  <c r="A87" i="4"/>
  <c r="A35" i="4"/>
  <c r="A72" i="4"/>
  <c r="A63" i="4"/>
  <c r="A10" i="4"/>
  <c r="A218" i="4"/>
  <c r="A103" i="4"/>
  <c r="A85" i="4"/>
  <c r="A158" i="4"/>
  <c r="A123" i="4"/>
  <c r="A140" i="4"/>
  <c r="A26" i="4"/>
  <c r="A175" i="4"/>
  <c r="A141" i="4"/>
  <c r="A98" i="4"/>
  <c r="A166" i="4"/>
  <c r="A120" i="4"/>
  <c r="A193" i="4"/>
  <c r="A237" i="4"/>
  <c r="A153" i="4"/>
  <c r="A210" i="4"/>
  <c r="A227" i="4"/>
  <c r="A222" i="4"/>
  <c r="A173" i="4"/>
  <c r="A180" i="4"/>
  <c r="A132" i="4"/>
  <c r="A201" i="4"/>
  <c r="A133" i="4"/>
  <c r="A194" i="4"/>
  <c r="A219" i="4"/>
  <c r="A212" i="4"/>
  <c r="A198" i="4"/>
  <c r="A16" i="4"/>
  <c r="A188" i="4"/>
  <c r="A114" i="4"/>
  <c r="A64" i="4"/>
  <c r="A58" i="4"/>
  <c r="A20" i="4"/>
  <c r="A225" i="4"/>
  <c r="A60" i="4"/>
  <c r="A107" i="4"/>
  <c r="A70" i="4"/>
  <c r="A131" i="4"/>
  <c r="A185" i="4"/>
  <c r="A69" i="4"/>
  <c r="A74" i="4"/>
  <c r="A202" i="4"/>
  <c r="A92" i="4"/>
  <c r="A51" i="4"/>
  <c r="A195" i="4"/>
  <c r="A53" i="4"/>
  <c r="A39" i="4"/>
  <c r="A121" i="4"/>
  <c r="A165" i="4"/>
  <c r="A59" i="4"/>
  <c r="A138" i="4"/>
  <c r="A111" i="4"/>
  <c r="A200" i="4"/>
  <c r="A171" i="4"/>
  <c r="A157" i="4"/>
  <c r="A137" i="4"/>
  <c r="A116" i="4"/>
  <c r="A94" i="4"/>
  <c r="A46" i="4"/>
  <c r="A110" i="4"/>
  <c r="A136" i="4"/>
  <c r="A235" i="4"/>
  <c r="A99" i="4"/>
  <c r="A196" i="4"/>
  <c r="A119" i="4"/>
  <c r="A15" i="4"/>
  <c r="A126" i="4"/>
  <c r="A206" i="4"/>
  <c r="A229" i="4"/>
  <c r="A43" i="4"/>
  <c r="A169" i="4"/>
  <c r="A182" i="4"/>
  <c r="A62" i="4"/>
  <c r="A216" i="4"/>
  <c r="A17" i="4"/>
  <c r="A41" i="4"/>
  <c r="A129" i="4"/>
  <c r="A232" i="4"/>
  <c r="A125" i="4"/>
  <c r="A186" i="4"/>
  <c r="A28" i="4"/>
  <c r="A224" i="4"/>
  <c r="A82" i="4"/>
  <c r="A177" i="4"/>
  <c r="A113" i="4"/>
  <c r="A161" i="4"/>
  <c r="A19" i="4"/>
  <c r="A22" i="4"/>
  <c r="A101" i="4"/>
  <c r="A81" i="4"/>
  <c r="A207" i="4"/>
  <c r="A30" i="4"/>
  <c r="A199" i="4"/>
  <c r="A95" i="4"/>
  <c r="A163" i="4"/>
  <c r="A208" i="4"/>
  <c r="A80" i="4"/>
  <c r="A151" i="4"/>
  <c r="A11" i="4"/>
  <c r="A234" i="4"/>
  <c r="A149" i="4"/>
  <c r="A230" i="4"/>
  <c r="A105" i="4"/>
  <c r="A49" i="4"/>
  <c r="A197" i="4"/>
  <c r="A190" i="4"/>
  <c r="A135" i="4"/>
  <c r="A109" i="4"/>
  <c r="A203" i="4"/>
  <c r="A162" i="4"/>
  <c r="A33" i="4"/>
  <c r="A204" i="4"/>
  <c r="A178" i="4"/>
  <c r="A8" i="4"/>
  <c r="A127" i="4"/>
  <c r="A36" i="2"/>
  <c r="A54" i="2"/>
  <c r="A169" i="2"/>
  <c r="A220" i="2"/>
  <c r="A154" i="2"/>
  <c r="A302" i="2"/>
  <c r="A213" i="2"/>
  <c r="A240" i="2"/>
  <c r="A206" i="2"/>
  <c r="A237" i="2"/>
  <c r="A83" i="2"/>
  <c r="A103" i="2"/>
  <c r="A182" i="2"/>
  <c r="A90" i="2"/>
  <c r="A114" i="2"/>
  <c r="A296" i="2"/>
  <c r="A196" i="2"/>
  <c r="A133" i="2"/>
  <c r="A96" i="2"/>
  <c r="A284" i="2"/>
  <c r="A310" i="2"/>
  <c r="A107" i="2"/>
  <c r="A173" i="2"/>
  <c r="A314" i="2"/>
  <c r="A18" i="2"/>
  <c r="A13" i="2"/>
  <c r="A219" i="2"/>
  <c r="A248" i="2"/>
  <c r="A268" i="2"/>
  <c r="A211" i="2"/>
  <c r="A157" i="2"/>
  <c r="A136" i="2"/>
  <c r="A131" i="2"/>
  <c r="A241" i="2"/>
  <c r="A203" i="2"/>
  <c r="A151" i="2"/>
  <c r="A224" i="2"/>
  <c r="A306" i="2"/>
  <c r="A249" i="2"/>
  <c r="A197" i="2"/>
  <c r="A278" i="2"/>
  <c r="A244" i="2"/>
  <c r="A199" i="2"/>
  <c r="A20" i="2"/>
  <c r="A80" i="2"/>
  <c r="A39" i="2"/>
  <c r="A108" i="2"/>
  <c r="A276" i="2"/>
  <c r="A82" i="2"/>
  <c r="A320" i="2"/>
  <c r="A319" i="2"/>
  <c r="A299" i="2"/>
  <c r="A274" i="2"/>
  <c r="A77" i="2"/>
  <c r="A172" i="2"/>
  <c r="A277" i="2"/>
  <c r="A130" i="2"/>
  <c r="A281" i="2"/>
  <c r="A230" i="2"/>
  <c r="A280" i="2"/>
  <c r="A87" i="2"/>
  <c r="A95" i="2"/>
  <c r="A293" i="2"/>
  <c r="A40" i="2"/>
  <c r="A259" i="2"/>
  <c r="A272" i="2"/>
  <c r="A232" i="2"/>
  <c r="A144" i="2"/>
  <c r="A177" i="2"/>
  <c r="A19" i="2"/>
  <c r="A97" i="2"/>
  <c r="A271" i="2"/>
  <c r="A267" i="2"/>
  <c r="A56" i="2"/>
  <c r="A21" i="2"/>
  <c r="A60" i="2"/>
  <c r="A115" i="2"/>
  <c r="A156" i="2"/>
  <c r="A286" i="2"/>
  <c r="A145" i="2"/>
  <c r="A26" i="2"/>
  <c r="A92" i="2"/>
  <c r="A153" i="2"/>
  <c r="A234" i="2"/>
  <c r="A99" i="2"/>
  <c r="A258" i="2"/>
  <c r="A184" i="2"/>
  <c r="A58" i="2"/>
  <c r="A242" i="2"/>
  <c r="A291" i="2"/>
  <c r="A250" i="2"/>
  <c r="A183" i="2"/>
  <c r="A33" i="2"/>
  <c r="A150" i="2"/>
  <c r="A298" i="2"/>
  <c r="A159" i="2"/>
  <c r="A308" i="2"/>
  <c r="A282" i="2"/>
  <c r="A229" i="2"/>
  <c r="A245" i="2"/>
  <c r="A86" i="2"/>
  <c r="A297" i="2"/>
  <c r="A126" i="2"/>
  <c r="A217" i="2"/>
  <c r="A162" i="2"/>
  <c r="A112" i="2"/>
  <c r="A246" i="2"/>
  <c r="A25" i="2"/>
  <c r="A74" i="2"/>
  <c r="A88" i="2"/>
  <c r="A167" i="2"/>
  <c r="A100" i="2"/>
  <c r="A175" i="2"/>
  <c r="A147" i="2"/>
  <c r="A149" i="2"/>
  <c r="A141" i="2"/>
  <c r="A317" i="2"/>
  <c r="A94" i="2"/>
  <c r="A128" i="2"/>
  <c r="A275" i="2"/>
  <c r="A315" i="2"/>
  <c r="A49" i="2"/>
  <c r="A205" i="2"/>
  <c r="A253" i="2"/>
  <c r="A104" i="2"/>
  <c r="A98" i="2"/>
  <c r="A323" i="2"/>
  <c r="A221" i="2"/>
  <c r="A186" i="2"/>
  <c r="A233" i="2"/>
  <c r="A67" i="2"/>
  <c r="A22" i="2"/>
  <c r="A273" i="2"/>
  <c r="A72" i="2"/>
  <c r="A261" i="2"/>
  <c r="A263" i="2"/>
  <c r="A179" i="2"/>
  <c r="A178" i="2"/>
  <c r="A243" i="2"/>
  <c r="A105" i="2"/>
  <c r="A70" i="2"/>
  <c r="A155" i="2"/>
  <c r="A28" i="2"/>
  <c r="A160" i="2"/>
  <c r="A81" i="2"/>
  <c r="A209" i="2"/>
  <c r="A32" i="2"/>
  <c r="A195" i="2"/>
  <c r="A138" i="2"/>
  <c r="A117" i="2"/>
  <c r="A204" i="2"/>
  <c r="A238" i="2"/>
  <c r="A252" i="2"/>
  <c r="A226" i="2"/>
  <c r="A127" i="2"/>
  <c r="A170" i="2"/>
  <c r="A37" i="2"/>
  <c r="A251" i="2"/>
  <c r="A51" i="2"/>
  <c r="A316" i="2"/>
  <c r="A181" i="2"/>
  <c r="A231" i="2"/>
  <c r="A140" i="2"/>
  <c r="A171" i="2"/>
  <c r="A34" i="2"/>
  <c r="A35" i="2"/>
  <c r="A62" i="2"/>
  <c r="A64" i="2"/>
  <c r="A266" i="2"/>
  <c r="A269" i="2"/>
  <c r="A208" i="2"/>
  <c r="A201" i="2"/>
  <c r="A321" i="2"/>
  <c r="A236" i="2"/>
  <c r="A326" i="2"/>
  <c r="A46" i="2"/>
  <c r="A109" i="2"/>
  <c r="A29" i="2"/>
  <c r="A223" i="2"/>
  <c r="A85" i="2"/>
  <c r="A292" i="2"/>
  <c r="A120" i="2"/>
  <c r="A42" i="2"/>
  <c r="A187" i="2"/>
  <c r="A215" i="2"/>
  <c r="A91" i="2"/>
  <c r="A212" i="2"/>
  <c r="A287" i="2"/>
  <c r="A239" i="2"/>
  <c r="A207" i="2"/>
  <c r="A290" i="2"/>
  <c r="A110" i="2"/>
  <c r="A165" i="2"/>
  <c r="A322" i="2"/>
  <c r="A255" i="2"/>
  <c r="A166" i="2"/>
  <c r="A12" i="2"/>
  <c r="A311" i="2"/>
  <c r="A24" i="7"/>
  <c r="A202" i="7"/>
  <c r="A167" i="7"/>
  <c r="A139" i="7"/>
  <c r="A185" i="7"/>
  <c r="A103" i="7"/>
  <c r="A19" i="7"/>
  <c r="A203" i="7"/>
  <c r="A239" i="7"/>
  <c r="A115" i="7"/>
  <c r="A128" i="7"/>
  <c r="A68" i="7"/>
  <c r="A169" i="7"/>
  <c r="A59" i="7"/>
  <c r="A131" i="7"/>
  <c r="A112" i="7"/>
  <c r="A141" i="7"/>
  <c r="A80" i="7"/>
  <c r="A181" i="7"/>
  <c r="A67" i="7"/>
  <c r="A245" i="7"/>
  <c r="A137" i="7"/>
  <c r="A214" i="7"/>
  <c r="A166" i="7"/>
  <c r="A117" i="7"/>
  <c r="A207" i="7"/>
  <c r="A183" i="7"/>
  <c r="A225" i="7"/>
  <c r="A133" i="7"/>
  <c r="A174" i="7"/>
  <c r="A57" i="7"/>
  <c r="A149" i="7"/>
  <c r="A82" i="7"/>
  <c r="A204" i="7"/>
  <c r="A212" i="7"/>
  <c r="A45" i="7"/>
  <c r="A27" i="7"/>
  <c r="A121" i="7"/>
  <c r="A75" i="7"/>
  <c r="A88" i="7"/>
  <c r="A159" i="7"/>
  <c r="A144" i="7"/>
  <c r="A132" i="7"/>
  <c r="A54" i="7"/>
  <c r="A23" i="7"/>
  <c r="A70" i="7"/>
  <c r="A38" i="7"/>
  <c r="A106" i="7"/>
  <c r="A18" i="7"/>
  <c r="A161" i="7"/>
  <c r="A61" i="7"/>
  <c r="A143" i="7"/>
  <c r="A196" i="7"/>
  <c r="A119" i="7"/>
  <c r="A17" i="7"/>
  <c r="A224" i="7"/>
  <c r="A140" i="7"/>
  <c r="A111" i="7"/>
  <c r="A95" i="7"/>
  <c r="A182" i="7"/>
  <c r="A34" i="7"/>
  <c r="A64" i="7"/>
  <c r="A66" i="7"/>
  <c r="A186" i="7"/>
  <c r="A89" i="7"/>
  <c r="A163" i="7"/>
  <c r="A188" i="7"/>
  <c r="A36" i="7"/>
  <c r="A210" i="7"/>
  <c r="A77" i="7"/>
  <c r="A216" i="7"/>
  <c r="A118" i="7"/>
  <c r="A100" i="7"/>
  <c r="A127" i="7"/>
  <c r="A201" i="7"/>
  <c r="A221" i="7"/>
  <c r="A51" i="7"/>
  <c r="A129" i="7"/>
  <c r="A235" i="7"/>
  <c r="A198" i="7"/>
  <c r="A218" i="7"/>
  <c r="A230" i="7"/>
  <c r="A170" i="7"/>
  <c r="A78" i="7"/>
  <c r="A113" i="7"/>
  <c r="A148" i="7"/>
  <c r="A242" i="7"/>
  <c r="A43" i="7"/>
  <c r="A206" i="7"/>
  <c r="A25" i="7"/>
  <c r="A241" i="7"/>
  <c r="A73" i="7"/>
  <c r="A237" i="7"/>
  <c r="A243" i="7"/>
  <c r="A124" i="7"/>
  <c r="A177" i="7"/>
  <c r="A28" i="7"/>
  <c r="A49" i="7"/>
  <c r="A233" i="7"/>
  <c r="A179" i="7"/>
  <c r="A231" i="7"/>
  <c r="A171" i="7"/>
  <c r="A193" i="7"/>
  <c r="A157" i="7"/>
  <c r="A109" i="7"/>
  <c r="A165" i="7"/>
  <c r="A215" i="7"/>
  <c r="A93" i="7"/>
  <c r="A102" i="7"/>
  <c r="A72" i="7"/>
  <c r="A135" i="7"/>
  <c r="A232" i="7"/>
  <c r="A107" i="7"/>
  <c r="A145" i="7"/>
  <c r="A211" i="7"/>
  <c r="A227" i="7"/>
  <c r="A173" i="7"/>
  <c r="A92" i="7"/>
  <c r="A205" i="7"/>
  <c r="A240" i="7"/>
  <c r="A238" i="7"/>
  <c r="A168" i="7"/>
  <c r="A226" i="7"/>
  <c r="A116" i="7"/>
  <c r="A122" i="7"/>
  <c r="A194" i="7"/>
  <c r="A98" i="7"/>
  <c r="A208" i="7"/>
  <c r="A146" i="7"/>
  <c r="A175" i="7"/>
  <c r="A30" i="7"/>
  <c r="A220" i="7"/>
  <c r="A90" i="7"/>
  <c r="A134" i="7"/>
  <c r="A41" i="7"/>
  <c r="A209" i="7"/>
  <c r="A158" i="7"/>
  <c r="A47" i="7"/>
  <c r="A190" i="7"/>
  <c r="A16" i="7"/>
  <c r="A7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K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2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C22" authorId="0" shapeId="0" xr:uid="{00000000-0006-0000-0000-000005000000}">
      <text>
        <r>
          <rPr>
            <b/>
            <sz val="14"/>
            <color indexed="81"/>
            <rFont val="Tahoma"/>
            <family val="2"/>
          </rPr>
          <t>PC: TB mới</t>
        </r>
        <r>
          <rPr>
            <sz val="14"/>
            <color indexed="81"/>
            <rFont val="Tahoma"/>
            <family val="2"/>
          </rPr>
          <t xml:space="preserve">
4 x 4.000 và 1 x 1.950</t>
        </r>
      </text>
    </comment>
    <comment ref="K2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3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3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PC:
KTCT trước lũ 2022</t>
        </r>
      </text>
    </comment>
    <comment ref="K3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
</t>
        </r>
      </text>
    </comment>
    <comment ref="K4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L4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J4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4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47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4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6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7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72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8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8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90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9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95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96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I106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0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0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
</t>
        </r>
      </text>
    </comment>
    <comment ref="K116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17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18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2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23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I124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124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2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2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3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3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33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3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47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I149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149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49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5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51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53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5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6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6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66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7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7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76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78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79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81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82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8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Đo từ Đồng Phố tưới xuống 10m</t>
        </r>
      </text>
    </comment>
    <comment ref="K229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0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I231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1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5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236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238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8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Tahoma"/>
            <family val="2"/>
          </rPr>
          <t>BC KTCT trước lũ 2022</t>
        </r>
      </text>
    </comment>
    <comment ref="K241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4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24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I255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5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55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56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58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59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60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61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263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PC:
Đo từ Ngoại Độ II lên 2650m</t>
        </r>
      </text>
    </comment>
    <comment ref="K26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27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71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7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Tahoma"/>
            <family val="2"/>
          </rPr>
          <t>BC KTCT trước lũ 2022</t>
        </r>
      </text>
    </comment>
    <comment ref="I272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7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76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0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02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04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05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3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14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5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6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8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9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25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K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C22" authorId="0" shapeId="0" xr:uid="{00000000-0006-0000-0200-000006000000}">
      <text>
        <r>
          <rPr>
            <b/>
            <sz val="14"/>
            <color indexed="81"/>
            <rFont val="Tahoma"/>
            <family val="2"/>
          </rPr>
          <t>PC: TB mới</t>
        </r>
        <r>
          <rPr>
            <sz val="14"/>
            <color indexed="81"/>
            <rFont val="Tahoma"/>
            <family val="2"/>
          </rPr>
          <t xml:space="preserve">
4 x 4.000 và 1 x 1.950</t>
        </r>
      </text>
    </comment>
    <comment ref="K2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3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32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PC:
KTCT trước lũ 2022</t>
        </r>
      </text>
    </comment>
    <comment ref="K33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5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9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J40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40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2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
</t>
        </r>
      </text>
    </comment>
    <comment ref="K43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4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5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6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9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1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4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6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8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0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2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4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7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80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81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I82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82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83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85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03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04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05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
</t>
        </r>
      </text>
    </comment>
    <comment ref="K107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08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20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23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26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27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130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130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30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31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36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40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I141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141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41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42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44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45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47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49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50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53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54" authorId="0" shapeId="0" xr:uid="{00000000-0006-0000-0200-00003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55" authorId="0" shapeId="0" xr:uid="{00000000-0006-0000-0200-00003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56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57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59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60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62" authorId="0" shapeId="0" xr:uid="{00000000-0006-0000-0200-00004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70" authorId="0" shapeId="0" xr:uid="{00000000-0006-0000-0200-00004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73" authorId="0" shapeId="0" xr:uid="{00000000-0006-0000-0200-00004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Đo từ Đồng Phố tưới xuống 10m</t>
        </r>
      </text>
    </comment>
    <comment ref="K229" authorId="0" shapeId="0" xr:uid="{00000000-0006-0000-0200-00004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0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I231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1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I233" authorId="0" shapeId="0" xr:uid="{00000000-0006-0000-0200-00004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3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Tahoma"/>
            <family val="2"/>
          </rPr>
          <t>BC KTCT trước lũ 2022</t>
        </r>
      </text>
    </comment>
    <comment ref="K236" authorId="0" shapeId="0" xr:uid="{00000000-0006-0000-0200-00004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38" authorId="0" shapeId="0" xr:uid="{00000000-0006-0000-0200-00004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239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40" authorId="0" shapeId="0" xr:uid="{00000000-0006-0000-0200-00005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241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255" authorId="0" shapeId="0" xr:uid="{00000000-0006-0000-0200-00005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57" authorId="0" shapeId="0" xr:uid="{00000000-0006-0000-0200-00005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58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PC:
Đo từ Ngoại Độ II lên 2650m</t>
        </r>
      </text>
    </comment>
    <comment ref="I259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59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59" authorId="0" shapeId="0" xr:uid="{00000000-0006-0000-0200-00005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60" authorId="0" shapeId="0" xr:uid="{00000000-0006-0000-0200-00005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261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63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64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I272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72" authorId="0" shapeId="0" xr:uid="{00000000-0006-0000-0200-00005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72" authorId="0" shapeId="0" xr:uid="{00000000-0006-0000-0200-00005E000000}">
      <text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Tahoma"/>
            <family val="2"/>
          </rPr>
          <t>BC KTCT trước lũ 2022</t>
        </r>
      </text>
    </comment>
    <comment ref="K273" authorId="0" shapeId="0" xr:uid="{00000000-0006-0000-0200-00005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274" authorId="0" shapeId="0" xr:uid="{00000000-0006-0000-0200-00006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74" authorId="0" shapeId="0" xr:uid="{00000000-0006-0000-0200-00006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302" authorId="0" shapeId="0" xr:uid="{00000000-0006-0000-0200-00006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03" authorId="0" shapeId="0" xr:uid="{00000000-0006-0000-0200-00006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05" authorId="0" shapeId="0" xr:uid="{00000000-0006-0000-0200-00006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06" authorId="0" shapeId="0" xr:uid="{00000000-0006-0000-0200-00006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4" authorId="0" shapeId="0" xr:uid="{00000000-0006-0000-0200-00006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5" authorId="0" shapeId="0" xr:uid="{00000000-0006-0000-0200-00006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16" authorId="0" shapeId="0" xr:uid="{00000000-0006-0000-0200-00006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7" authorId="0" shapeId="0" xr:uid="{00000000-0006-0000-0200-00006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19" authorId="0" shapeId="0" xr:uid="{00000000-0006-0000-0200-00006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20" authorId="0" shapeId="0" xr:uid="{00000000-0006-0000-0200-00006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326" authorId="0" shapeId="0" xr:uid="{00000000-0006-0000-0200-00006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K7" authorId="0" shapeId="0" xr:uid="{EBD489DC-A97B-40F9-9D7A-1C62CB3DA8C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8" authorId="0" shapeId="0" xr:uid="{00B8DBA3-381F-4566-8F2B-4A53A864FDF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9" authorId="0" shapeId="0" xr:uid="{61DAE75E-10D5-42F4-868F-8722F736ED7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0" authorId="0" shapeId="0" xr:uid="{E59F635F-24BE-402F-ACD9-2E835A7FA02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C11" authorId="0" shapeId="0" xr:uid="{2BFE4DFD-B5D5-41DF-A963-531C72006B2E}">
      <text>
        <r>
          <rPr>
            <b/>
            <sz val="14"/>
            <color indexed="81"/>
            <rFont val="Tahoma"/>
            <family val="2"/>
          </rPr>
          <t>PC: TB mới</t>
        </r>
        <r>
          <rPr>
            <sz val="14"/>
            <color indexed="81"/>
            <rFont val="Tahoma"/>
            <family val="2"/>
          </rPr>
          <t xml:space="preserve">
4 x 4.000 và 1 x 1.950</t>
        </r>
      </text>
    </comment>
    <comment ref="K11" authorId="0" shapeId="0" xr:uid="{8BEABECD-F557-478C-89CE-B449F61F15A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6" authorId="0" shapeId="0" xr:uid="{D3B1C87B-1424-4CC0-9AFD-25D4EE52481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9" authorId="0" shapeId="0" xr:uid="{709448DF-629F-4EF1-B3DC-2A32E2D5A90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J20" authorId="0" shapeId="0" xr:uid="{38E2EB9F-5C44-4DE5-9025-D7C59553A65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0" authorId="0" shapeId="0" xr:uid="{81AF472C-A58E-4D45-89F4-852D6743243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1" authorId="0" shapeId="0" xr:uid="{E01C9AF5-E98E-44C2-8CF7-25EEFE52D21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2" authorId="0" shapeId="0" xr:uid="{FF963F9C-E144-47A8-A004-23D0313B7C2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
</t>
        </r>
      </text>
    </comment>
    <comment ref="K23" authorId="0" shapeId="0" xr:uid="{ABDD8D7F-9DF9-43AB-B597-832AE6B9EE0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4" authorId="0" shapeId="0" xr:uid="{97135216-9393-4160-B97B-221F90AF8CB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5" authorId="0" shapeId="0" xr:uid="{D85F3C5D-5678-4420-B395-F0F70B52A63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6" authorId="0" shapeId="0" xr:uid="{A3FE2C3E-A895-492F-93A1-62044322B73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28" authorId="0" shapeId="0" xr:uid="{4471994F-3E33-4D69-A52A-7620ACE3450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0" authorId="0" shapeId="0" xr:uid="{A43DC019-BDAA-4B15-8570-82E097C1DBE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3" authorId="0" shapeId="0" xr:uid="{8D1CA863-C585-4DEE-A902-E7D8DFE2B68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5" authorId="0" shapeId="0" xr:uid="{DF7EE617-761F-4ACF-A1CD-30442CBA98E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7" authorId="0" shapeId="0" xr:uid="{FB1330DC-D285-4C95-B8C0-515E9D28759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39" authorId="0" shapeId="0" xr:uid="{686F825F-C1A3-4D04-95E6-49666A7E063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1" authorId="0" shapeId="0" xr:uid="{9CB668AE-CCE8-448D-A163-CF43AD9B643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3" authorId="0" shapeId="0" xr:uid="{6DFB7C32-9B19-472A-880E-6CF3CB9F837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46" authorId="0" shapeId="0" xr:uid="{2C2C2AA8-075A-496D-847F-89A38500593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58" authorId="0" shapeId="0" xr:uid="{015E2668-1ABE-4EC6-9E94-691792B2931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59" authorId="0" shapeId="0" xr:uid="{2579E474-950D-4FC3-9727-403A80B4BCE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60" authorId="0" shapeId="0" xr:uid="{09433A82-D3C5-4E7E-BF81-FB6908BA5DF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
</t>
        </r>
      </text>
    </comment>
    <comment ref="K62" authorId="0" shapeId="0" xr:uid="{AC071DAC-B905-406D-851F-3968569E7F2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63" authorId="0" shapeId="0" xr:uid="{67C6329D-7A65-43F9-8E9A-9BE3D74EBE8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74" authorId="0" shapeId="0" xr:uid="{6C962E41-D19C-41F9-AE6B-00393E496F4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77" authorId="0" shapeId="0" xr:uid="{1F492017-B0A2-4BB5-946A-9795A11A346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80" authorId="0" shapeId="0" xr:uid="{39783AAD-1CD8-4D93-ADF3-495F7BE4CB1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81" authorId="0" shapeId="0" xr:uid="{FB99273E-65EC-494E-8BA8-10093FF539D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84" authorId="0" shapeId="0" xr:uid="{DA02572C-D663-4C1F-90AC-DA26AE71481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84" authorId="0" shapeId="0" xr:uid="{1E6F3026-F76E-4DE5-BBB5-78A88EB2056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84" authorId="0" shapeId="0" xr:uid="{F200852B-E42F-45D1-8432-A82D718B3CD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85" authorId="0" shapeId="0" xr:uid="{C02C2B8D-5D00-4D0D-A94B-F88BB825C0C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90" authorId="0" shapeId="0" xr:uid="{DC9D2829-5DE4-4A56-A0A0-42C3974FD3C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94" authorId="0" shapeId="0" xr:uid="{21B7B82C-2B5C-4C57-B601-12CE4615E31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I95" authorId="0" shapeId="0" xr:uid="{E703C3A4-50FF-4672-A81B-D4A77FAA4FA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95" authorId="0" shapeId="0" xr:uid="{1DC77319-C8DE-4968-A811-AFB36CB0EF3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95" authorId="0" shapeId="0" xr:uid="{FBFB56A7-A4B5-48AC-AB20-5BC0B531963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96" authorId="0" shapeId="0" xr:uid="{1AC77CCC-F19B-4804-AA21-8CAE765A3EB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98" authorId="0" shapeId="0" xr:uid="{BEA71D5C-1FDC-427C-AF04-53AD7482216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99" authorId="0" shapeId="0" xr:uid="{04EDECA0-ADD1-40F2-94DF-851F6D46636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01" authorId="0" shapeId="0" xr:uid="{A9EF6C9C-D204-4CBD-A626-900E53F7195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03" authorId="0" shapeId="0" xr:uid="{AD041E2E-8785-4E4E-9EFA-32CBB5CEDE7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04" authorId="0" shapeId="0" xr:uid="{13293DA0-0651-410F-952A-2DC0D88DCEB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07" authorId="0" shapeId="0" xr:uid="{A2B85F89-A12B-4258-AA64-A1CFE73E281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08" authorId="0" shapeId="0" xr:uid="{5E39D44B-2A60-4582-B011-1CC513BC662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09" authorId="0" shapeId="0" xr:uid="{1F8DF8A8-5E84-4148-9D59-6FEFD137579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10" authorId="0" shapeId="0" xr:uid="{396083CE-A27F-4E46-9B8F-1F7F0959851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11" authorId="0" shapeId="0" xr:uid="{213528F2-49A6-4849-9C67-39B607126EE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13" authorId="0" shapeId="0" xr:uid="{9F1D87DC-DA78-411F-B256-1B757A446B4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3780</t>
        </r>
      </text>
    </comment>
    <comment ref="K114" authorId="0" shapeId="0" xr:uid="{704450FC-84CF-4FA9-8FE9-11F110B3BE9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16" authorId="0" shapeId="0" xr:uid="{6D2103CF-4809-4906-B440-A35965DD912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124" authorId="0" shapeId="0" xr:uid="{6975EC24-F177-4429-AB0B-99ABEFA04AF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K127" authorId="0" shapeId="0" xr:uid="{E5E50D91-B1EF-46DB-AED9-E3182E994ED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Đo từ Đồng Phố tưới xuống 10m</t>
        </r>
      </text>
    </comment>
    <comment ref="K182" authorId="0" shapeId="0" xr:uid="{EBE7AAEA-2FBF-42A2-8B27-FD4E0FCC66F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84" authorId="0" shapeId="0" xr:uid="{F6C5B2FB-D269-4187-89C8-D7544744EDE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85" authorId="0" shapeId="0" xr:uid="{C60E3603-1C10-476A-B9BC-0A692B322DE5}">
      <text>
        <r>
          <rPr>
            <b/>
            <sz val="9"/>
            <color indexed="81"/>
            <rFont val="Tahoma"/>
            <family val="2"/>
          </rPr>
          <t>PC:
Đo từ Ngoại Độ II lên 2650m</t>
        </r>
      </text>
    </comment>
    <comment ref="I186" authorId="0" shapeId="0" xr:uid="{1AF19222-B5BE-4685-B73B-C8C698AB511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186" authorId="0" shapeId="0" xr:uid="{22834A4A-9765-496A-9D42-E28B2C2B385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86" authorId="0" shapeId="0" xr:uid="{E60DDA10-08AC-4FFC-9A74-23DD7EB6392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87" authorId="0" shapeId="0" xr:uid="{30712D6F-D8FC-41D0-AFCB-5F3DC02959F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BC KTCT trước lũ 2022</t>
        </r>
      </text>
    </comment>
    <comment ref="K188" authorId="0" shapeId="0" xr:uid="{54D89F54-9CDC-4D1D-828C-F7DFDD7FB20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90" authorId="0" shapeId="0" xr:uid="{423C4963-0214-47A6-AE44-2C60E5B34CB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K191" authorId="0" shapeId="0" xr:uid="{682E72D1-1775-44D0-9162-154DC423BB8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 1493</t>
        </r>
      </text>
    </comment>
    <comment ref="I198" authorId="0" shapeId="0" xr:uid="{51F09D7B-8DF6-4E17-9130-BAA4FE321D1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198" authorId="0" shapeId="0" xr:uid="{427F3D93-C7E9-4D01-99E3-53AB267C1D1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198" authorId="0" shapeId="0" xr:uid="{7351B9B7-2D8E-42DC-9892-52FD0A1BD9CA}">
      <text>
        <r>
          <rPr>
            <b/>
            <sz val="9"/>
            <color indexed="81"/>
            <rFont val="Tahoma"/>
            <family val="2"/>
          </rPr>
          <t xml:space="preserve">PC:
</t>
        </r>
        <r>
          <rPr>
            <sz val="9"/>
            <color indexed="81"/>
            <rFont val="Tahoma"/>
            <family val="2"/>
          </rPr>
          <t>BC KTCT trước lũ 2022</t>
        </r>
      </text>
    </comment>
    <comment ref="K199" authorId="0" shapeId="0" xr:uid="{710EAB3D-A179-4A9D-8DDD-8027BCAA248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VB1493</t>
        </r>
      </text>
    </comment>
    <comment ref="I200" authorId="0" shapeId="0" xr:uid="{9B5798C2-DEEA-473D-B0D4-CB3D62820E7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J200" authorId="0" shapeId="0" xr:uid="{FF8ECE2E-4C06-4083-868F-7C897B83C60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  <comment ref="K231" authorId="0" shapeId="0" xr:uid="{0A2EC197-CD35-44D8-B39C-81002A84477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232" authorId="0" shapeId="0" xr:uid="{18BDF270-D4CA-4A9C-92D5-BFE863DE362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VB3780</t>
        </r>
      </text>
    </comment>
    <comment ref="K237" authorId="0" shapeId="0" xr:uid="{35412B0D-18D1-43AE-AEF3-C3358C17187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19" authorId="0" shapeId="0" xr:uid="{CE61EC72-B738-4B07-9742-3A16E986F42E}">
      <text>
        <r>
          <rPr>
            <b/>
            <sz val="14"/>
            <color indexed="81"/>
            <rFont val="Tahoma"/>
            <family val="2"/>
          </rPr>
          <t>PC: TB mới</t>
        </r>
        <r>
          <rPr>
            <sz val="14"/>
            <color indexed="81"/>
            <rFont val="Tahoma"/>
            <family val="2"/>
          </rPr>
          <t xml:space="preserve">
4 x 4.000 và 1 x 1.950</t>
        </r>
      </text>
    </comment>
  </commentList>
</comments>
</file>

<file path=xl/sharedStrings.xml><?xml version="1.0" encoding="utf-8"?>
<sst xmlns="http://schemas.openxmlformats.org/spreadsheetml/2006/main" count="2669" uniqueCount="557">
  <si>
    <t>UBND THÀNH PHỐ HÀ NỘI</t>
  </si>
  <si>
    <t>CỘNG HÒA XÃ HỘI CHỦ NGHĨA VIỆT NAM</t>
  </si>
  <si>
    <t>CÔNG TY TNHH MỘT THÀNH VIÊN</t>
  </si>
  <si>
    <t>Độc lập - Tự do - Hạnh phúc</t>
  </si>
  <si>
    <t>ĐẦU TƯ PHÁT TRIỂN THỦY LỢI SÔNG NHUỆ</t>
  </si>
  <si>
    <t>BẢNG THỐNG KÊ TRẠM BƠM</t>
  </si>
  <si>
    <t xml:space="preserve">
Do Công ty TNHH một thành viên Đầu tư phát triển Thủy lợi Sông Nhuệ quản lý
</t>
  </si>
  <si>
    <t>TT</t>
  </si>
  <si>
    <t>Tên công trình</t>
  </si>
  <si>
    <t>Địa điểm
(xã, thị trấn)</t>
  </si>
  <si>
    <t>Nguồn tưới, 
hướng tiêu</t>
  </si>
  <si>
    <t>Tổng số máy</t>
  </si>
  <si>
    <r>
      <t xml:space="preserve">Q </t>
    </r>
    <r>
      <rPr>
        <b/>
        <vertAlign val="subscript"/>
        <sz val="13"/>
        <rFont val="Times New Roman"/>
        <family val="1"/>
      </rPr>
      <t>1 máy</t>
    </r>
    <r>
      <rPr>
        <b/>
        <sz val="13"/>
        <rFont val="Times New Roman"/>
        <family val="1"/>
      </rPr>
      <t xml:space="preserve"> 
(m</t>
    </r>
    <r>
      <rPr>
        <b/>
        <vertAlign val="superscript"/>
        <sz val="13"/>
        <rFont val="Times New Roman"/>
        <family val="1"/>
      </rPr>
      <t>3</t>
    </r>
    <r>
      <rPr>
        <b/>
        <sz val="13"/>
        <rFont val="Times New Roman"/>
        <family val="1"/>
      </rPr>
      <t>/h)</t>
    </r>
  </si>
  <si>
    <t>Phân loại</t>
  </si>
  <si>
    <t>Diện tích (ha)</t>
  </si>
  <si>
    <t>Ghi chú</t>
  </si>
  <si>
    <t>Tưới</t>
  </si>
  <si>
    <t>Tiêu</t>
  </si>
  <si>
    <t>I</t>
  </si>
  <si>
    <t>THANH TRÌ</t>
  </si>
  <si>
    <t>Trạm bơm tưới</t>
  </si>
  <si>
    <t xml:space="preserve">Mô Cam  </t>
  </si>
  <si>
    <t>Ngũ Hiệp</t>
  </si>
  <si>
    <t>Kênh TN Cầu Sắt</t>
  </si>
  <si>
    <t xml:space="preserve">Nhân Hòa  </t>
  </si>
  <si>
    <t>Tả Thanh Oai</t>
  </si>
  <si>
    <t>Sông Nhuệ</t>
  </si>
  <si>
    <t>K22+410 bờ tả</t>
  </si>
  <si>
    <t xml:space="preserve">Cầu Sắt  </t>
  </si>
  <si>
    <t>Tứ Hiệp</t>
  </si>
  <si>
    <t>Sông Tô Lịch</t>
  </si>
  <si>
    <t xml:space="preserve">Giải Đò  </t>
  </si>
  <si>
    <t>Hoà Bình (tưới)</t>
  </si>
  <si>
    <t>Tam Hiệp</t>
  </si>
  <si>
    <t>Trạm bơm tiêu</t>
  </si>
  <si>
    <t xml:space="preserve">Đông Mỹ </t>
  </si>
  <si>
    <t xml:space="preserve"> Đông Mỹ  </t>
  </si>
  <si>
    <t>Sông Hồng</t>
  </si>
  <si>
    <t>K83+547 bờ hữu</t>
  </si>
  <si>
    <t xml:space="preserve">Liên Ninh </t>
  </si>
  <si>
    <t xml:space="preserve"> Liên Ninh  </t>
  </si>
  <si>
    <t>Hòa Bình tiêu</t>
  </si>
  <si>
    <t>Đại áng</t>
  </si>
  <si>
    <t>K27+800 bờ tả</t>
  </si>
  <si>
    <t xml:space="preserve">Đại Thanh </t>
  </si>
  <si>
    <t xml:space="preserve">Tả T Oai </t>
  </si>
  <si>
    <t>K21+137 bờ tả</t>
  </si>
  <si>
    <t>Đại áng (tiêu)</t>
  </si>
  <si>
    <t xml:space="preserve"> Đại áng  </t>
  </si>
  <si>
    <t>K28+970 bờ tả</t>
  </si>
  <si>
    <t>Đại áng (tưới) gộp vào trạm bơm Đại Áng tiêu</t>
  </si>
  <si>
    <t>K28+900 bờ tả</t>
  </si>
  <si>
    <t>Hoà Bình (Vĩnh Trung)</t>
  </si>
  <si>
    <t xml:space="preserve"> Đại Áng  </t>
  </si>
  <si>
    <t>Kênh Hòa Bình</t>
  </si>
  <si>
    <t xml:space="preserve">Siêu Quần </t>
  </si>
  <si>
    <t>K27+150 bờ tả</t>
  </si>
  <si>
    <t>Trạm kết hợp</t>
  </si>
  <si>
    <t>Ngọc Hồi</t>
  </si>
  <si>
    <t>Sông Om</t>
  </si>
  <si>
    <t xml:space="preserve">Hữu Hòa </t>
  </si>
  <si>
    <t xml:space="preserve"> Hữu Hòa  </t>
  </si>
  <si>
    <t>K22+133 bờ hữu</t>
  </si>
  <si>
    <t>II</t>
  </si>
  <si>
    <t>THƯỜNG TÍN</t>
  </si>
  <si>
    <t>Trạm bơm Hồng Vân</t>
  </si>
  <si>
    <t>Ninh Sở</t>
  </si>
  <si>
    <t>K88+290 bờ hữu</t>
  </si>
  <si>
    <t>Hưng Hiền tưới</t>
  </si>
  <si>
    <t>Hiền Giang</t>
  </si>
  <si>
    <t>K31+467 bờ hữu</t>
  </si>
  <si>
    <t>Thọ Giáo (Cổng Đông)</t>
  </si>
  <si>
    <t>Tân Minh</t>
  </si>
  <si>
    <t>Nhân Hiền 2</t>
  </si>
  <si>
    <t>K33+293 bờ hữu</t>
  </si>
  <si>
    <t>Kiều Thị</t>
  </si>
  <si>
    <t>Thắng Lợi</t>
  </si>
  <si>
    <t>Kênh tiêu Vĩnh Mộ</t>
  </si>
  <si>
    <t>Tử Dương</t>
  </si>
  <si>
    <t>Tô Hiệu</t>
  </si>
  <si>
    <t>Kênh Tây</t>
  </si>
  <si>
    <t>Phúc Trạch</t>
  </si>
  <si>
    <t>Vạn Điểm</t>
  </si>
  <si>
    <t>Kênh A2-7</t>
  </si>
  <si>
    <t>Đan Nhiễm</t>
  </si>
  <si>
    <t>Khánh Hà</t>
  </si>
  <si>
    <t>K29+362 bờ tả</t>
  </si>
  <si>
    <t>Xém (mới)</t>
  </si>
  <si>
    <t>Nguyễn Trãi</t>
  </si>
  <si>
    <t>K35+020 bờ tả</t>
  </si>
  <si>
    <t>Xém</t>
  </si>
  <si>
    <t>K34+990 bờ tả</t>
  </si>
  <si>
    <t>Hưng Hiền (mới)</t>
  </si>
  <si>
    <t>K32+209 bờ hữu</t>
  </si>
  <si>
    <t>Bộ Đầu</t>
  </si>
  <si>
    <t>Thống Nhất</t>
  </si>
  <si>
    <t>K101+089 bờ hữu</t>
  </si>
  <si>
    <t>Hậu Bành</t>
  </si>
  <si>
    <t>Nghiêm Xuyên</t>
  </si>
  <si>
    <t>K43+687 bờ tả</t>
  </si>
  <si>
    <t>Minh Cường 2</t>
  </si>
  <si>
    <t>Minh Cường</t>
  </si>
  <si>
    <t>Trạm bơm Vĩnh Mộ 2</t>
  </si>
  <si>
    <t>vừa</t>
  </si>
  <si>
    <t>K38+500 bờ tả</t>
  </si>
  <si>
    <t>Trạm bơm Vĩnh Mộ 1</t>
  </si>
  <si>
    <t>K38+558 bờ tả</t>
  </si>
  <si>
    <t>Trạm bơm Văn Bình</t>
  </si>
  <si>
    <t>Văn Bình</t>
  </si>
  <si>
    <t>Kênh tiêu Đường 71</t>
  </si>
  <si>
    <t>Trạm bơm Gia Khánh 2</t>
  </si>
  <si>
    <t>K37+665 bờ tả</t>
  </si>
  <si>
    <t>Trạm bơm kết hợp</t>
  </si>
  <si>
    <t>Trạm bơm Nhị Khê</t>
  </si>
  <si>
    <t>Nhị Khê</t>
  </si>
  <si>
    <t>Trạm bơm Duyên Thái</t>
  </si>
  <si>
    <t>Duyên Thái</t>
  </si>
  <si>
    <t>Tiền Phong 1</t>
  </si>
  <si>
    <t>Tiền phong</t>
  </si>
  <si>
    <t>K35+036 bờ hữu</t>
  </si>
  <si>
    <t>Dã chiến Tiền Phong 1</t>
  </si>
  <si>
    <t>Tiền Phong 2</t>
  </si>
  <si>
    <t>K35+680 bờ hữu</t>
  </si>
  <si>
    <t>Tiền Phong 2 tưới (dã chiến)</t>
  </si>
  <si>
    <t>Trạm bơm Đình Tổ</t>
  </si>
  <si>
    <t>K37+140 bờ tả</t>
  </si>
  <si>
    <t>Trạm bơm Gia Khánh 1</t>
  </si>
  <si>
    <t>K37+805 bờ tả</t>
  </si>
  <si>
    <t>Phúc Trại</t>
  </si>
  <si>
    <t>K36+460 bờ hữu</t>
  </si>
  <si>
    <t>Phúc Trại 2</t>
  </si>
  <si>
    <t>Triều Đông</t>
  </si>
  <si>
    <t>K40+369 bờ hữu</t>
  </si>
  <si>
    <t>Trạm bơm Cao Xá</t>
  </si>
  <si>
    <t>Dũng Tiến</t>
  </si>
  <si>
    <t>K41+130 bờ tả</t>
  </si>
  <si>
    <t>Dã chiến Cao Xá</t>
  </si>
  <si>
    <t>Minh Cường 1</t>
  </si>
  <si>
    <t>Cống Xuyên 1</t>
  </si>
  <si>
    <t>Kênh Hậu Bành</t>
  </si>
  <si>
    <t>Cống Xuyên 2</t>
  </si>
  <si>
    <t>Liễu Viên</t>
  </si>
  <si>
    <t>K42+587 bờ tả</t>
  </si>
  <si>
    <t>Dã chiến Liễu Viên</t>
  </si>
  <si>
    <t>Nhân Hiền</t>
  </si>
  <si>
    <t>III</t>
  </si>
  <si>
    <t>PHÚ XUYÊN</t>
  </si>
  <si>
    <t>Vườn Quán</t>
  </si>
  <si>
    <t>Tri Trung</t>
  </si>
  <si>
    <t>Trung Lập</t>
  </si>
  <si>
    <t>Kênh tiêu Tri Trung</t>
  </si>
  <si>
    <t>Lò Vôi</t>
  </si>
  <si>
    <t>Hoàng Long</t>
  </si>
  <si>
    <t>K48+420 bờ hữu</t>
  </si>
  <si>
    <t>Thanh Hoàng</t>
  </si>
  <si>
    <t>K45+950 bờ hữu</t>
  </si>
  <si>
    <t>Ngô Công</t>
  </si>
  <si>
    <t>Đại Xuyên</t>
  </si>
  <si>
    <t>Sông Duy Tiên</t>
  </si>
  <si>
    <t xml:space="preserve">K5+550 bờ tả </t>
  </si>
  <si>
    <t>K133</t>
  </si>
  <si>
    <t>Nam Triều</t>
  </si>
  <si>
    <t>Kênh Bìm</t>
  </si>
  <si>
    <t>Nội Hợp</t>
  </si>
  <si>
    <t>Nam Phong</t>
  </si>
  <si>
    <t>Kênh tiêu Nam Phú</t>
  </si>
  <si>
    <t>Thụy Phú I</t>
  </si>
  <si>
    <t>Nam Tiến</t>
  </si>
  <si>
    <t>K103+400 bờ hữu</t>
  </si>
  <si>
    <t>tưới</t>
  </si>
  <si>
    <t>Thụy Phú II</t>
  </si>
  <si>
    <t>K104+232 bờ hữu</t>
  </si>
  <si>
    <t>Dc Lưu Khê</t>
  </si>
  <si>
    <t>Thủy Trú</t>
  </si>
  <si>
    <t>Bạch Hạ</t>
  </si>
  <si>
    <t>Sông Lương</t>
  </si>
  <si>
    <t>Đồng Bưởi</t>
  </si>
  <si>
    <t>Hòa Thượng</t>
  </si>
  <si>
    <t>DĐồng Phố tưới</t>
  </si>
  <si>
    <t>Ba Đền</t>
  </si>
  <si>
    <t>Tưới Hòa Hạ</t>
  </si>
  <si>
    <t>K8+850 bờ tả</t>
  </si>
  <si>
    <t>tưới 2( Đầm tạ)</t>
  </si>
  <si>
    <t>Mai Trang</t>
  </si>
  <si>
    <t>Minh Tân</t>
  </si>
  <si>
    <t>tưới 1 (Sảo thượng)</t>
  </si>
  <si>
    <t>DC Thần Quy</t>
  </si>
  <si>
    <t>K12+050 bờ tả</t>
  </si>
  <si>
    <t>Thao ngoại</t>
  </si>
  <si>
    <t>Thần Quy (tưới)</t>
  </si>
  <si>
    <t>K10+900 bờ tả</t>
  </si>
  <si>
    <t>tiêu</t>
  </si>
  <si>
    <t>Dc Chí Minh</t>
  </si>
  <si>
    <t>Tân Tiến</t>
  </si>
  <si>
    <t>Kênh Jumi</t>
  </si>
  <si>
    <t>Đồng Phố tiêu)</t>
  </si>
  <si>
    <t>DC Quang Lãng</t>
  </si>
  <si>
    <t>Quang Lãng</t>
  </si>
  <si>
    <t>K117+930 bờ hữu</t>
  </si>
  <si>
    <t>Phú Nhiêu</t>
  </si>
  <si>
    <t>Ngải khê</t>
  </si>
  <si>
    <t>Kim Nhị</t>
  </si>
  <si>
    <t>Kênh A2-8</t>
  </si>
  <si>
    <t>Kiều Đông</t>
  </si>
  <si>
    <t>Hoàng Đông</t>
  </si>
  <si>
    <t>K49+310 bờ hữu</t>
  </si>
  <si>
    <t>Hoàng Xá</t>
  </si>
  <si>
    <t>Phú Túc</t>
  </si>
  <si>
    <t>Lưu Khê 1</t>
  </si>
  <si>
    <t>Sông Ngang</t>
  </si>
  <si>
    <t>Quang Trung</t>
  </si>
  <si>
    <t>Lễ Thượng</t>
  </si>
  <si>
    <t>K5+250 bờ hữu</t>
  </si>
  <si>
    <t>Khai Thái</t>
  </si>
  <si>
    <t>K110+700 bờ hữu</t>
  </si>
  <si>
    <t>Tiêu Hòa Hạ</t>
  </si>
  <si>
    <t>DC Kim Quy</t>
  </si>
  <si>
    <t>Kênh Bút</t>
  </si>
  <si>
    <t>K45+850 bờ hữu</t>
  </si>
  <si>
    <t>Gạo Hồ</t>
  </si>
  <si>
    <t>K45+417 bờ hữu</t>
  </si>
  <si>
    <t>Đào Xá</t>
  </si>
  <si>
    <t>K47+220 bờ hữu</t>
  </si>
  <si>
    <t>Trình Viên</t>
  </si>
  <si>
    <t>Sông Vân Đình</t>
  </si>
  <si>
    <t>K3+600 bờ tả</t>
  </si>
  <si>
    <t>K4+070 bờ tả</t>
  </si>
  <si>
    <t>DC Phú Túc</t>
  </si>
  <si>
    <t>Tân Độ</t>
  </si>
  <si>
    <t>Hồng Minh</t>
  </si>
  <si>
    <t>K2+570 bờ tả</t>
  </si>
  <si>
    <t>An Cốc</t>
  </si>
  <si>
    <t>K1+327 bờ hữu</t>
  </si>
  <si>
    <t>DC An Cốc</t>
  </si>
  <si>
    <t>Đồng Sâu</t>
  </si>
  <si>
    <t>K44+405 bờ hữu</t>
  </si>
  <si>
    <t>DC Đồng Sâu</t>
  </si>
  <si>
    <t>Phượng Dực</t>
  </si>
  <si>
    <t>DC Phượng Dực</t>
  </si>
  <si>
    <t>Đồng Tiến</t>
  </si>
  <si>
    <t>K44+507 bờ tả</t>
  </si>
  <si>
    <t>DC Đồng Tiến</t>
  </si>
  <si>
    <t xml:space="preserve">Quang Trung </t>
  </si>
  <si>
    <t>An Mỹ</t>
  </si>
  <si>
    <t>Đại Thắng</t>
  </si>
  <si>
    <t>Lễ Nhuế 2</t>
  </si>
  <si>
    <t>Tân Dân</t>
  </si>
  <si>
    <t>K53+110 bờ tả</t>
  </si>
  <si>
    <t>DC Lễ Nhuế 2</t>
  </si>
  <si>
    <t xml:space="preserve">Lễ Nhuế </t>
  </si>
  <si>
    <t>K52+900 bờ tả</t>
  </si>
  <si>
    <t>Lễ Nhuế 1</t>
  </si>
  <si>
    <t>K52+785 bờ tả</t>
  </si>
  <si>
    <t>Gia Phú</t>
  </si>
  <si>
    <t>K50+793 bờ tả</t>
  </si>
  <si>
    <t>DC Gia Phú</t>
  </si>
  <si>
    <t>Nội Cói</t>
  </si>
  <si>
    <t>Văn Hoàng</t>
  </si>
  <si>
    <t>K47+530 bờ tả</t>
  </si>
  <si>
    <t>DC Nội Cói</t>
  </si>
  <si>
    <t>Văn Trai</t>
  </si>
  <si>
    <t>K46+240 bờ tả</t>
  </si>
  <si>
    <t>DC Văn Trai Trung</t>
  </si>
  <si>
    <t>K45+417 bờ tả</t>
  </si>
  <si>
    <t xml:space="preserve">Đồng Vinh </t>
  </si>
  <si>
    <t>Chuyên Mỹ</t>
  </si>
  <si>
    <t>K49+841 bờ hữu</t>
  </si>
  <si>
    <t>DC Đồng Vinh</t>
  </si>
  <si>
    <t>Trung Thượng</t>
  </si>
  <si>
    <t>K51+115 bờ hữu</t>
  </si>
  <si>
    <t>Ngọ Hạ</t>
  </si>
  <si>
    <t>K53+964 bờ hữu</t>
  </si>
  <si>
    <t>Bối Khê</t>
  </si>
  <si>
    <t>K54+080 bờ hữu</t>
  </si>
  <si>
    <t>DC Bối Khê</t>
  </si>
  <si>
    <t>Đồng Đầm (Thủy Sản)</t>
  </si>
  <si>
    <t>Thường Xuyên</t>
  </si>
  <si>
    <t>K3+567 bờ tả</t>
  </si>
  <si>
    <t>Thái Đa</t>
  </si>
  <si>
    <t xml:space="preserve">K6+780 bờ tả </t>
  </si>
  <si>
    <t>Cổ Trai</t>
  </si>
  <si>
    <t>K2+730 bờ tả</t>
  </si>
  <si>
    <t>Trãi</t>
  </si>
  <si>
    <t>Vân Từ</t>
  </si>
  <si>
    <t>K55+175 bờ hữu</t>
  </si>
  <si>
    <t>Thượng Vân Từ</t>
  </si>
  <si>
    <t>K54+820 bờ tả</t>
  </si>
  <si>
    <t>Cựu</t>
  </si>
  <si>
    <t>K56+170 bờ tả</t>
  </si>
  <si>
    <t>Thần 50</t>
  </si>
  <si>
    <t>Châu Can</t>
  </si>
  <si>
    <t>K58+056 bờ hữu</t>
  </si>
  <si>
    <t>Bài Lễ</t>
  </si>
  <si>
    <t>K3+460 bờ hữu</t>
  </si>
  <si>
    <t>Cầu Dâu</t>
  </si>
  <si>
    <t>K58+030 bờ tả</t>
  </si>
  <si>
    <t>Trung Nghĩa</t>
  </si>
  <si>
    <t>K59+270 bờ tả</t>
  </si>
  <si>
    <t>Quán Thôn</t>
  </si>
  <si>
    <t>K1+120 bờ hữu</t>
  </si>
  <si>
    <t>Phú Yên</t>
  </si>
  <si>
    <t>K56+310 bờ tả</t>
  </si>
  <si>
    <t>Thủy Phú</t>
  </si>
  <si>
    <t>K56+140 bờ hữu</t>
  </si>
  <si>
    <t>Giẽ Hạ</t>
  </si>
  <si>
    <t>K1+305 bờ tả</t>
  </si>
  <si>
    <t>Đồng Đồn (tưới + tiêu)</t>
  </si>
  <si>
    <t>Phúc Tiến</t>
  </si>
  <si>
    <t>Thao Chính 1</t>
  </si>
  <si>
    <t>TT Phú Xuyên</t>
  </si>
  <si>
    <t>Mỹ Lâm</t>
  </si>
  <si>
    <t>Đại Nam-Đại Phúc</t>
  </si>
  <si>
    <t>Đại Đông</t>
  </si>
  <si>
    <t>Thao Chính 2</t>
  </si>
  <si>
    <t>Thao Nội</t>
  </si>
  <si>
    <t>Sơn Hà</t>
  </si>
  <si>
    <t>Sơn Thanh</t>
  </si>
  <si>
    <t>Cầu Gầm</t>
  </si>
  <si>
    <t>Nam Liên</t>
  </si>
  <si>
    <t>Cổ Châu</t>
  </si>
  <si>
    <t>Nam Phú</t>
  </si>
  <si>
    <t>Hồng Thái</t>
  </si>
  <si>
    <t>Lạt Dương</t>
  </si>
  <si>
    <t>Diền</t>
  </si>
  <si>
    <t>An Bình</t>
  </si>
  <si>
    <t>Trại Khang</t>
  </si>
  <si>
    <t>Lập Phương</t>
  </si>
  <si>
    <t xml:space="preserve"> Đồng Sen</t>
  </si>
  <si>
    <t>Đường Ngay</t>
  </si>
  <si>
    <t>Vĩnh Sơn</t>
  </si>
  <si>
    <t>Đồng Lạc</t>
  </si>
  <si>
    <t>Thần Quy</t>
  </si>
  <si>
    <t>Kim Quy</t>
  </si>
  <si>
    <t>Ánh Quang</t>
  </si>
  <si>
    <t>Văn Chỉ</t>
  </si>
  <si>
    <t>Tri Thủy</t>
  </si>
  <si>
    <t>Bìm</t>
  </si>
  <si>
    <t>Nhân Sơn</t>
  </si>
  <si>
    <t>Vĩnh Ninh</t>
  </si>
  <si>
    <t>Hoàng Nguyên</t>
  </si>
  <si>
    <t>IV</t>
  </si>
  <si>
    <t>ỨNG HOÀ</t>
  </si>
  <si>
    <t>Ba Thá</t>
  </si>
  <si>
    <t>Viên An</t>
  </si>
  <si>
    <t>Sông Đáy</t>
  </si>
  <si>
    <t>K44+950 bờ tả</t>
  </si>
  <si>
    <t>Viên Nội</t>
  </si>
  <si>
    <t>K48+800 bờ tả</t>
  </si>
  <si>
    <t>Xóm Cát</t>
  </si>
  <si>
    <t>K50+205 bờ tả</t>
  </si>
  <si>
    <t xml:space="preserve">Sơn Công </t>
  </si>
  <si>
    <t xml:space="preserve"> Sơn Công</t>
  </si>
  <si>
    <t>K52+700 bờ tả</t>
  </si>
  <si>
    <t>Quảng Nguyên</t>
  </si>
  <si>
    <t>Quảng Phú Cầu</t>
  </si>
  <si>
    <t>Kênh Bắc Quảng Hoa</t>
  </si>
  <si>
    <t>I2 - VĐ9</t>
  </si>
  <si>
    <t>Vân Đình</t>
  </si>
  <si>
    <t>K11+790 bờ tả</t>
  </si>
  <si>
    <t>I2 - VĐ7</t>
  </si>
  <si>
    <t>K10+140 bờ tả</t>
  </si>
  <si>
    <t>Nội Xá</t>
  </si>
  <si>
    <t>Vạn Thái</t>
  </si>
  <si>
    <t>Kênh Tây Ninh</t>
  </si>
  <si>
    <t>Thái Bình</t>
  </si>
  <si>
    <t>K65+830 bờ tả</t>
  </si>
  <si>
    <t>Hồng Quang</t>
  </si>
  <si>
    <t>K78+210 bờ tả
(Ngoài đê)</t>
  </si>
  <si>
    <t>Mạnh Tân 3 (I2-14)</t>
  </si>
  <si>
    <t>Đông Lỗ</t>
  </si>
  <si>
    <t>K61+047 bờ hữu</t>
  </si>
  <si>
    <t>Xà Cầu</t>
  </si>
  <si>
    <t>Tưới Lưu Khê</t>
  </si>
  <si>
    <t>Liên Bạt</t>
  </si>
  <si>
    <t>K7+940 bờ tả</t>
  </si>
  <si>
    <t>Tưới Mai Đình</t>
  </si>
  <si>
    <t xml:space="preserve">K7+910 bờ hữu </t>
  </si>
  <si>
    <t>Thanh Ấm</t>
  </si>
  <si>
    <t>K11+440 bờ tả</t>
  </si>
  <si>
    <t>Hoà Phú</t>
  </si>
  <si>
    <t>Xuân Quang 2</t>
  </si>
  <si>
    <t>Đội Bình</t>
  </si>
  <si>
    <t>Kênh Ngoại Độ</t>
  </si>
  <si>
    <t>Thọ Vực 1</t>
  </si>
  <si>
    <t>Thọ Vực 2</t>
  </si>
  <si>
    <t>Triều Khúc</t>
  </si>
  <si>
    <t>Lưu Hoàng</t>
  </si>
  <si>
    <t>Cầu</t>
  </si>
  <si>
    <t>Minh Đức</t>
  </si>
  <si>
    <t>Kênh A2-10</t>
  </si>
  <si>
    <t>Ngũ Luân (Chùa Thủ)</t>
  </si>
  <si>
    <t>Đại Hùng</t>
  </si>
  <si>
    <t>Kênh A2-14</t>
  </si>
  <si>
    <t>Ngoại Độ 1+2</t>
  </si>
  <si>
    <t>K79+287 bờ tả</t>
  </si>
  <si>
    <t>K79+087 bờ tả</t>
  </si>
  <si>
    <t>Mạnh Tân 2</t>
  </si>
  <si>
    <t>K59+960 bờ hữu</t>
  </si>
  <si>
    <t>Ngọ Xá 1+2+ Dã chiến</t>
  </si>
  <si>
    <t>K65+070 bờ tả</t>
  </si>
  <si>
    <t>K65+050 bờ tả</t>
  </si>
  <si>
    <t>Liên Phương</t>
  </si>
  <si>
    <t>K9+440 bờ tả</t>
  </si>
  <si>
    <t>Kênh xả tiêu Ngoại Độ</t>
  </si>
  <si>
    <t>Bài Hạ</t>
  </si>
  <si>
    <t>K78+890 bờ tả
(Ngoài Đê)</t>
  </si>
  <si>
    <t>Thanh Chung</t>
  </si>
  <si>
    <t>Trung Tú</t>
  </si>
  <si>
    <t>Phú Dư</t>
  </si>
  <si>
    <t>Đống Mỏ</t>
  </si>
  <si>
    <t xml:space="preserve">Thần Điền </t>
  </si>
  <si>
    <t>Thần Nhỏ (Thần con)</t>
  </si>
  <si>
    <t>K57+045 bờ hữu</t>
  </si>
  <si>
    <t>K65+730 bờ tả</t>
  </si>
  <si>
    <t>Lưu Khê</t>
  </si>
  <si>
    <t>K7+900 bờ tả</t>
  </si>
  <si>
    <t>Mai Đình</t>
  </si>
  <si>
    <t>K7+950 bờ hữu</t>
  </si>
  <si>
    <t>Đoàn Xá</t>
  </si>
  <si>
    <t>K64+100 bờ tả</t>
  </si>
  <si>
    <t>Phúc Quan</t>
  </si>
  <si>
    <t>Hoà Lâm</t>
  </si>
  <si>
    <t>Thần Lớn</t>
  </si>
  <si>
    <t>K57+430 bờ hữu</t>
  </si>
  <si>
    <t>Thái Bằng</t>
  </si>
  <si>
    <t>Đồng Tân</t>
  </si>
  <si>
    <t>Trầm Lộng</t>
  </si>
  <si>
    <t>Kênh I2-14</t>
  </si>
  <si>
    <t>Đại Cường</t>
  </si>
  <si>
    <t>Kênh xả Đại Cường</t>
  </si>
  <si>
    <t>DC Du Đồng</t>
  </si>
  <si>
    <t>Kênh I2-14A</t>
  </si>
  <si>
    <t>Thủy Sản</t>
  </si>
  <si>
    <t>Trường Thịnh</t>
  </si>
  <si>
    <t>Xuân Quang 1</t>
  </si>
  <si>
    <t>Cõi Ngang</t>
  </si>
  <si>
    <t>Làn Gắm</t>
  </si>
  <si>
    <t xml:space="preserve">Thỗm </t>
  </si>
  <si>
    <t>Đường Đế</t>
  </si>
  <si>
    <t>Cao Xá 1</t>
  </si>
  <si>
    <t>Chẩn Kỳ</t>
  </si>
  <si>
    <t>Trạch Bái</t>
  </si>
  <si>
    <t>Thuỷ Sản</t>
  </si>
  <si>
    <t>Đường Tây + Đồng Bạch + Dã chiến tiêu Đồng Bạch</t>
  </si>
  <si>
    <t>V</t>
  </si>
  <si>
    <t>BẮC TỪ LIÊM</t>
  </si>
  <si>
    <t xml:space="preserve">Trạm bơm tưới </t>
  </si>
  <si>
    <t>Thụy Phương 1</t>
  </si>
  <si>
    <t xml:space="preserve">Thụy Phương </t>
  </si>
  <si>
    <t>K0+500 bờ tả</t>
  </si>
  <si>
    <t>Thụy Phương 2</t>
  </si>
  <si>
    <t>K0+477 bờ tả</t>
  </si>
  <si>
    <t xml:space="preserve">Cầu Diễn </t>
  </si>
  <si>
    <t xml:space="preserve">Phúc Diễn </t>
  </si>
  <si>
    <t>K6+480 bờ hữu</t>
  </si>
  <si>
    <t>Liên Mạc</t>
  </si>
  <si>
    <t>K0+668 bờ hữu</t>
  </si>
  <si>
    <t xml:space="preserve">Trạm bơm tiêu </t>
  </si>
  <si>
    <t xml:space="preserve">Minh Khai </t>
  </si>
  <si>
    <t>Sông Pheo</t>
  </si>
  <si>
    <t>K3+600 bờ hữu</t>
  </si>
  <si>
    <t>Tây Tựu 1</t>
  </si>
  <si>
    <t xml:space="preserve">Tây Tựu </t>
  </si>
  <si>
    <t>K1+500 bờ hữu</t>
  </si>
  <si>
    <t>Tây Tựu 2</t>
  </si>
  <si>
    <t>K1+300 bờ tả</t>
  </si>
  <si>
    <t>VI</t>
  </si>
  <si>
    <t>NAM TỪ LIÊM</t>
  </si>
  <si>
    <t xml:space="preserve">Đại Mỗ </t>
  </si>
  <si>
    <t>K11+448 bờ hữu</t>
  </si>
  <si>
    <t>Cầu Đôi</t>
  </si>
  <si>
    <t xml:space="preserve">Phú Đô </t>
  </si>
  <si>
    <t>K11+328 bờ tả</t>
  </si>
  <si>
    <t xml:space="preserve">Trung Văn </t>
  </si>
  <si>
    <t>K13+203 bờ tả</t>
  </si>
  <si>
    <t xml:space="preserve">Ngọc Trục </t>
  </si>
  <si>
    <t>K13+285 bờ hữu</t>
  </si>
  <si>
    <t xml:space="preserve">Hòe Thị </t>
  </si>
  <si>
    <t xml:space="preserve">Xuân Phương </t>
  </si>
  <si>
    <t>K6+860 bờ hữu</t>
  </si>
  <si>
    <t xml:space="preserve">Cầu Giát </t>
  </si>
  <si>
    <t>K8+920 bờ hữu</t>
  </si>
  <si>
    <t>Cầu Ngà 1</t>
  </si>
  <si>
    <t xml:space="preserve">Tây Mỗ </t>
  </si>
  <si>
    <t>Sông Cầu Ngà</t>
  </si>
  <si>
    <t>K2+304 bờ hữu</t>
  </si>
  <si>
    <t>Cầu Ngà 2</t>
  </si>
  <si>
    <t>K2+174 bờ hữu</t>
  </si>
  <si>
    <t xml:space="preserve">Cầu Ngà 3 </t>
  </si>
  <si>
    <t>K2+174 bờ tả</t>
  </si>
  <si>
    <t>VII</t>
  </si>
  <si>
    <t>HOÀI ĐỨC</t>
  </si>
  <si>
    <t>Yên Nghĩa</t>
  </si>
  <si>
    <t>K19+760 bờ tả</t>
  </si>
  <si>
    <t>Đại áng (tưới)</t>
  </si>
  <si>
    <t>Hồng Vân</t>
  </si>
  <si>
    <t>Vĩnh Mộ 2</t>
  </si>
  <si>
    <t>Vĩnh Mộ 1</t>
  </si>
  <si>
    <t>Gia Khánh 2</t>
  </si>
  <si>
    <t>Đình Tổ</t>
  </si>
  <si>
    <t>Gia Khánh 1</t>
  </si>
  <si>
    <t>Cao Xá</t>
  </si>
  <si>
    <t>Kênh tiêu Gạo Hồ</t>
  </si>
  <si>
    <t>K11+440 bờ hữu</t>
  </si>
  <si>
    <t xml:space="preserve">Đường Tây + Đồng Bạch </t>
  </si>
  <si>
    <t>DC tiêu Đồng Bạch</t>
  </si>
  <si>
    <t>Ngọ Xá I</t>
  </si>
  <si>
    <t>Ngọ Xá II</t>
  </si>
  <si>
    <t>Đồng Đồn tưới</t>
  </si>
  <si>
    <t>Đồng Đồn tiêu</t>
  </si>
  <si>
    <t>Dã chiến Ngọ Xá</t>
  </si>
  <si>
    <t>Ngoại Độ I</t>
  </si>
  <si>
    <t>Ngoại Độ II</t>
  </si>
  <si>
    <t>XNTL THANH TRÌ</t>
  </si>
  <si>
    <t>Đại Thanh</t>
  </si>
  <si>
    <t>Yên Sở</t>
  </si>
  <si>
    <t>Kênh Cầu Sắt - Mô Cam</t>
  </si>
  <si>
    <t>Thanh Trì</t>
  </si>
  <si>
    <t>Nam Phù</t>
  </si>
  <si>
    <t>Sông Tô Lịch (Nhánh chảy về TB Yên Sở)</t>
  </si>
  <si>
    <t>Sông Tô Lịch (Ngân Hàng Sông Om)</t>
  </si>
  <si>
    <t>Thường Tín</t>
  </si>
  <si>
    <t>Thượng Phúc</t>
  </si>
  <si>
    <t>Chương Dương</t>
  </si>
  <si>
    <t>Phú Xuyên</t>
  </si>
  <si>
    <t>Thượng Tín</t>
  </si>
  <si>
    <t>XNTL PHÚ XUYÊN</t>
  </si>
  <si>
    <t>DC Tràng Cầy</t>
  </si>
  <si>
    <t>XNTL THƯỜNG TÍN</t>
  </si>
  <si>
    <t>Đồng Sen</t>
  </si>
  <si>
    <t>XNTLHỒNG VÂN</t>
  </si>
  <si>
    <t>XNTL TỪ LIÊM</t>
  </si>
  <si>
    <t>XNTL HÀ ĐÔNG</t>
  </si>
  <si>
    <t>Địa điểm
(xã, phường)</t>
  </si>
  <si>
    <t>BẢNG THỐNG KÊ TRẠM BƠM TIÊU (KẾT HỢP)</t>
  </si>
  <si>
    <t>Công ty thuỷ lợi</t>
  </si>
  <si>
    <t>quản lý</t>
  </si>
  <si>
    <t>Tổng số trạm</t>
  </si>
  <si>
    <r>
      <t xml:space="preserve">Trong đó loại máy bơm </t>
    </r>
    <r>
      <rPr>
        <sz val="12"/>
        <color rgb="FF000000"/>
        <rFont val="Times New Roman"/>
        <family val="1"/>
      </rPr>
      <t>(1.000 m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/h)</t>
    </r>
  </si>
  <si>
    <t>Tổng lưu lượng</t>
  </si>
  <si>
    <r>
      <t xml:space="preserve"> (m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/h)</t>
    </r>
  </si>
  <si>
    <t>2÷3</t>
  </si>
  <si>
    <t>1,1 ÷1,9</t>
  </si>
  <si>
    <t>&lt; 1</t>
  </si>
  <si>
    <t>Tổng cộng:</t>
  </si>
  <si>
    <t>Hà Nội</t>
  </si>
  <si>
    <t>Sông Tích</t>
  </si>
  <si>
    <t>TT </t>
  </si>
  <si>
    <t>Tên trạm Bơm</t>
  </si>
  <si>
    <t>Thiết kế</t>
  </si>
  <si>
    <t>Tình hình vận hành</t>
  </si>
  <si>
    <t>Tiêu ra sông, kênh</t>
  </si>
  <si>
    <t>Lưu lượng (m3/h)</t>
  </si>
  <si>
    <t>Số máy</t>
  </si>
  <si>
    <t>Xí nghiệp TL Hà Đông</t>
  </si>
  <si>
    <t>Yên Nghĩa</t>
  </si>
  <si>
    <t>Đáy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</si>
</sst>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#,##0\ _₫"/>
    <numFmt numFmtId="166" formatCode="_(* #,##0_);_(* \(#,##0\);_(* &quot;-&quot;??_);_(@_)"/>
  </numFmts>
  <fonts count="33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vertAlign val="subscript"/>
      <sz val="13"/>
      <name val="Times New Roman"/>
      <family val="1"/>
    </font>
    <font>
      <b/>
      <vertAlign val="superscript"/>
      <sz val="13"/>
      <name val="Times New Roman"/>
      <family val="1"/>
    </font>
    <font>
      <sz val="10"/>
      <name val="Arial"/>
      <family val="2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1"/>
      <name val=".VnTime"/>
      <family val="2"/>
    </font>
    <font>
      <sz val="11"/>
      <color theme="1"/>
      <name val="Calibri"/>
      <family val="2"/>
      <scheme val="minor"/>
    </font>
    <font>
      <sz val="13"/>
      <color indexed="12"/>
      <name val="Times New Roman"/>
      <family val="1"/>
    </font>
    <font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1" fillId="0" borderId="0"/>
    <xf numFmtId="0" fontId="11" fillId="0" borderId="0"/>
    <xf numFmtId="0" fontId="16" fillId="0" borderId="0"/>
    <xf numFmtId="0" fontId="17" fillId="0" borderId="0"/>
  </cellStyleXfs>
  <cellXfs count="267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4" fontId="6" fillId="0" borderId="2" xfId="4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3" fontId="6" fillId="0" borderId="2" xfId="1" applyNumberFormat="1" applyFont="1" applyFill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/>
    </xf>
    <xf numFmtId="3" fontId="7" fillId="0" borderId="2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6" fontId="6" fillId="0" borderId="2" xfId="1" applyNumberFormat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2" xfId="3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/>
    </xf>
    <xf numFmtId="3" fontId="3" fillId="0" borderId="2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0" xfId="0" applyFont="1" applyAlignment="1">
      <alignment vertical="center"/>
    </xf>
    <xf numFmtId="3" fontId="6" fillId="0" borderId="2" xfId="5" applyNumberFormat="1" applyFont="1" applyBorder="1" applyAlignment="1">
      <alignment horizontal="center" vertical="center" wrapText="1"/>
    </xf>
    <xf numFmtId="0" fontId="0" fillId="0" borderId="2" xfId="0" applyBorder="1"/>
    <xf numFmtId="0" fontId="2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7" fillId="0" borderId="2" xfId="6" applyFont="1" applyBorder="1" applyAlignment="1">
      <alignment horizontal="center" vertical="center"/>
    </xf>
    <xf numFmtId="3" fontId="7" fillId="0" borderId="2" xfId="6" applyNumberFormat="1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0" fontId="5" fillId="0" borderId="0" xfId="6" applyFont="1" applyAlignment="1">
      <alignment horizontal="center" vertical="center" wrapText="1"/>
    </xf>
    <xf numFmtId="0" fontId="6" fillId="0" borderId="2" xfId="6" applyFont="1" applyBorder="1" applyAlignment="1">
      <alignment horizontal="center" vertical="center"/>
    </xf>
    <xf numFmtId="0" fontId="2" fillId="0" borderId="2" xfId="6" applyFont="1" applyBorder="1" applyAlignment="1">
      <alignment horizontal="center" vertical="center" wrapText="1"/>
    </xf>
    <xf numFmtId="0" fontId="2" fillId="0" borderId="0" xfId="6" applyFont="1" applyAlignment="1">
      <alignment horizontal="center" vertical="center" wrapText="1"/>
    </xf>
    <xf numFmtId="0" fontId="2" fillId="0" borderId="2" xfId="6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/>
    </xf>
    <xf numFmtId="0" fontId="5" fillId="0" borderId="0" xfId="6" applyFont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 wrapText="1"/>
    </xf>
    <xf numFmtId="0" fontId="19" fillId="0" borderId="2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3" fontId="6" fillId="0" borderId="2" xfId="6" applyNumberFormat="1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4" fillId="0" borderId="2" xfId="0" applyFont="1" applyBorder="1" applyAlignment="1">
      <alignment horizontal="left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0" xfId="0" applyFont="1"/>
    <xf numFmtId="0" fontId="13" fillId="0" borderId="7" xfId="0" applyFont="1" applyBorder="1"/>
    <xf numFmtId="0" fontId="15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8" xfId="0" applyFont="1" applyBorder="1"/>
    <xf numFmtId="0" fontId="13" fillId="0" borderId="8" xfId="0" applyFont="1" applyBorder="1"/>
    <xf numFmtId="3" fontId="7" fillId="0" borderId="2" xfId="0" applyNumberFormat="1" applyFont="1" applyBorder="1" applyAlignment="1">
      <alignment horizontal="center" vertical="center"/>
    </xf>
    <xf numFmtId="166" fontId="7" fillId="0" borderId="2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9" xfId="3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4" fontId="6" fillId="0" borderId="1" xfId="4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165" fontId="6" fillId="0" borderId="9" xfId="1" applyNumberFormat="1" applyFont="1" applyFill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4" fontId="6" fillId="0" borderId="9" xfId="4" applyNumberFormat="1" applyFont="1" applyBorder="1" applyAlignment="1">
      <alignment horizontal="center" vertical="center" wrapText="1"/>
    </xf>
    <xf numFmtId="3" fontId="6" fillId="0" borderId="9" xfId="1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6" fontId="6" fillId="0" borderId="9" xfId="1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 wrapText="1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7" fillId="0" borderId="9" xfId="6" applyFont="1" applyBorder="1" applyAlignment="1">
      <alignment horizontal="center" vertical="center"/>
    </xf>
    <xf numFmtId="3" fontId="7" fillId="0" borderId="9" xfId="6" applyNumberFormat="1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 wrapText="1"/>
    </xf>
    <xf numFmtId="0" fontId="6" fillId="0" borderId="9" xfId="6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 wrapText="1"/>
    </xf>
    <xf numFmtId="0" fontId="6" fillId="0" borderId="9" xfId="6" applyFont="1" applyBorder="1" applyAlignment="1">
      <alignment horizontal="center" vertical="center" wrapText="1"/>
    </xf>
    <xf numFmtId="3" fontId="6" fillId="0" borderId="9" xfId="6" applyNumberFormat="1" applyFont="1" applyBorder="1" applyAlignment="1">
      <alignment horizontal="right" vertical="center" wrapText="1"/>
    </xf>
    <xf numFmtId="1" fontId="7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3" fontId="14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/>
    <xf numFmtId="0" fontId="12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 wrapText="1"/>
    </xf>
    <xf numFmtId="4" fontId="6" fillId="0" borderId="11" xfId="4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right" vertical="center" wrapText="1"/>
    </xf>
    <xf numFmtId="0" fontId="27" fillId="0" borderId="10" xfId="0" applyFont="1" applyBorder="1" applyAlignment="1">
      <alignment horizontal="right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right" vertical="center" wrapText="1"/>
    </xf>
    <xf numFmtId="0" fontId="28" fillId="0" borderId="9" xfId="0" applyFont="1" applyBorder="1" applyAlignment="1">
      <alignment horizontal="right" vertical="center" wrapText="1"/>
    </xf>
    <xf numFmtId="0" fontId="25" fillId="0" borderId="9" xfId="0" applyFont="1" applyBorder="1" applyAlignment="1">
      <alignment horizontal="right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right" vertical="center" wrapText="1"/>
    </xf>
    <xf numFmtId="0" fontId="25" fillId="0" borderId="11" xfId="0" applyFont="1" applyBorder="1" applyAlignment="1">
      <alignment horizontal="righ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3" fontId="29" fillId="0" borderId="2" xfId="0" applyNumberFormat="1" applyFont="1" applyBorder="1" applyAlignment="1">
      <alignment horizontal="center" vertical="center" wrapText="1"/>
    </xf>
    <xf numFmtId="4" fontId="29" fillId="0" borderId="2" xfId="4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3" fontId="6" fillId="0" borderId="5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" fontId="6" fillId="0" borderId="1" xfId="4" applyNumberFormat="1" applyFont="1" applyBorder="1" applyAlignment="1">
      <alignment horizontal="center" vertical="center" wrapText="1"/>
    </xf>
    <xf numFmtId="4" fontId="6" fillId="0" borderId="5" xfId="4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" fontId="6" fillId="0" borderId="6" xfId="4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6" fillId="0" borderId="6" xfId="1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5" xfId="5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4" fontId="6" fillId="0" borderId="9" xfId="4" applyNumberFormat="1" applyFont="1" applyBorder="1" applyAlignment="1">
      <alignment horizontal="center" vertical="center" wrapText="1"/>
    </xf>
    <xf numFmtId="0" fontId="6" fillId="0" borderId="9" xfId="6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6" applyFont="1" applyBorder="1" applyAlignment="1">
      <alignment horizontal="center" vertical="center" wrapText="1"/>
    </xf>
    <xf numFmtId="3" fontId="6" fillId="0" borderId="9" xfId="1" applyNumberFormat="1" applyFont="1" applyFill="1" applyBorder="1" applyAlignment="1">
      <alignment horizontal="center" vertical="center" wrapText="1"/>
    </xf>
    <xf numFmtId="0" fontId="6" fillId="0" borderId="9" xfId="5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0" fillId="0" borderId="15" xfId="0" applyFont="1" applyBorder="1" applyAlignment="1">
      <alignment vertical="center"/>
    </xf>
    <xf numFmtId="0" fontId="30" fillId="0" borderId="15" xfId="0" applyFont="1" applyBorder="1"/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/>
    </xf>
    <xf numFmtId="0" fontId="32" fillId="0" borderId="13" xfId="0" applyFont="1" applyBorder="1" applyAlignment="1">
      <alignment horizontal="right" vertical="center"/>
    </xf>
    <xf numFmtId="3" fontId="32" fillId="0" borderId="15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</cellXfs>
  <cellStyles count="7">
    <cellStyle name="_TG-TH_1_Book1_C29_Bieu 1 - Tong hop toan Cty KH 2011- ngay 31-6 - P.a I (ko co BCD)" xfId="3" xr:uid="{00000000-0005-0000-0000-000000000000}"/>
    <cellStyle name="Comma" xfId="1" builtinId="3"/>
    <cellStyle name="Normal" xfId="0" builtinId="0"/>
    <cellStyle name="Normal 16" xfId="2" xr:uid="{00000000-0005-0000-0000-000003000000}"/>
    <cellStyle name="Normal 9" xfId="6" xr:uid="{00000000-0005-0000-0000-000004000000}"/>
    <cellStyle name="Normal_Copy of Kenh ra soat  - ngay 9-1" xfId="4" xr:uid="{00000000-0005-0000-0000-000005000000}"/>
    <cellStyle name="Normal_DanhmuctheoQD11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38100</xdr:colOff>
      <xdr:row>2</xdr:row>
      <xdr:rowOff>9525</xdr:rowOff>
    </xdr:from>
    <xdr:to>
      <xdr:col>34</xdr:col>
      <xdr:colOff>723900</xdr:colOff>
      <xdr:row>2</xdr:row>
      <xdr:rowOff>9525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4220825" y="485775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1438275</xdr:colOff>
      <xdr:row>2</xdr:row>
      <xdr:rowOff>323850</xdr:rowOff>
    </xdr:from>
    <xdr:to>
      <xdr:col>3</xdr:col>
      <xdr:colOff>638175</xdr:colOff>
      <xdr:row>2</xdr:row>
      <xdr:rowOff>323850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1876425" y="714375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200025</xdr:colOff>
      <xdr:row>2</xdr:row>
      <xdr:rowOff>28575</xdr:rowOff>
    </xdr:from>
    <xdr:to>
      <xdr:col>8</xdr:col>
      <xdr:colOff>552450</xdr:colOff>
      <xdr:row>2</xdr:row>
      <xdr:rowOff>28575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6343650" y="504825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38100</xdr:colOff>
      <xdr:row>2</xdr:row>
      <xdr:rowOff>9525</xdr:rowOff>
    </xdr:from>
    <xdr:to>
      <xdr:col>34</xdr:col>
      <xdr:colOff>723900</xdr:colOff>
      <xdr:row>2</xdr:row>
      <xdr:rowOff>9525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14220825" y="485775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1438275</xdr:colOff>
      <xdr:row>2</xdr:row>
      <xdr:rowOff>323850</xdr:rowOff>
    </xdr:from>
    <xdr:to>
      <xdr:col>3</xdr:col>
      <xdr:colOff>638175</xdr:colOff>
      <xdr:row>2</xdr:row>
      <xdr:rowOff>323850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1876425" y="714375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571500</xdr:colOff>
      <xdr:row>1</xdr:row>
      <xdr:rowOff>219075</xdr:rowOff>
    </xdr:from>
    <xdr:to>
      <xdr:col>10</xdr:col>
      <xdr:colOff>190499</xdr:colOff>
      <xdr:row>1</xdr:row>
      <xdr:rowOff>238124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6305550" y="457200"/>
          <a:ext cx="2228849" cy="190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65515"/>
  <sheetViews>
    <sheetView topLeftCell="B1" zoomScaleNormal="100" workbookViewId="0">
      <selection activeCell="B6" sqref="B6:K6"/>
    </sheetView>
  </sheetViews>
  <sheetFormatPr defaultRowHeight="16.5" outlineLevelRow="1" x14ac:dyDescent="0.25"/>
  <cols>
    <col min="1" max="1" width="0" style="1" hidden="1" customWidth="1"/>
    <col min="2" max="2" width="5.75" style="8" customWidth="1"/>
    <col min="3" max="3" width="21.625" style="9" customWidth="1"/>
    <col min="4" max="4" width="17.5" style="8" customWidth="1"/>
    <col min="5" max="5" width="19.125" style="8" customWidth="1"/>
    <col min="6" max="6" width="7.75" style="8" customWidth="1"/>
    <col min="7" max="7" width="8.875" style="8" customWidth="1"/>
    <col min="8" max="8" width="7.875" style="10" customWidth="1"/>
    <col min="9" max="10" width="8.75" style="10" customWidth="1"/>
    <col min="11" max="11" width="17.125" style="8" customWidth="1"/>
    <col min="12" max="12" width="0" style="1" hidden="1" customWidth="1"/>
    <col min="13" max="16" width="0" style="3" hidden="1" customWidth="1"/>
    <col min="17" max="17" width="0" style="1" hidden="1" customWidth="1"/>
    <col min="18" max="21" width="0" style="3" hidden="1" customWidth="1"/>
    <col min="22" max="22" width="15.125" style="3" hidden="1" customWidth="1"/>
    <col min="23" max="25" width="0" style="3" hidden="1" customWidth="1"/>
    <col min="26" max="256" width="9" style="3"/>
    <col min="257" max="257" width="0" style="3" hidden="1" customWidth="1"/>
    <col min="258" max="258" width="5.75" style="3" customWidth="1"/>
    <col min="259" max="259" width="21.625" style="3" customWidth="1"/>
    <col min="260" max="260" width="17.5" style="3" customWidth="1"/>
    <col min="261" max="261" width="19.125" style="3" customWidth="1"/>
    <col min="262" max="262" width="7.75" style="3" customWidth="1"/>
    <col min="263" max="263" width="8.875" style="3" customWidth="1"/>
    <col min="264" max="264" width="7.875" style="3" customWidth="1"/>
    <col min="265" max="266" width="8.75" style="3" customWidth="1"/>
    <col min="267" max="267" width="17.125" style="3" customWidth="1"/>
    <col min="268" max="281" width="0" style="3" hidden="1" customWidth="1"/>
    <col min="282" max="512" width="9" style="3"/>
    <col min="513" max="513" width="0" style="3" hidden="1" customWidth="1"/>
    <col min="514" max="514" width="5.75" style="3" customWidth="1"/>
    <col min="515" max="515" width="21.625" style="3" customWidth="1"/>
    <col min="516" max="516" width="17.5" style="3" customWidth="1"/>
    <col min="517" max="517" width="19.125" style="3" customWidth="1"/>
    <col min="518" max="518" width="7.75" style="3" customWidth="1"/>
    <col min="519" max="519" width="8.875" style="3" customWidth="1"/>
    <col min="520" max="520" width="7.875" style="3" customWidth="1"/>
    <col min="521" max="522" width="8.75" style="3" customWidth="1"/>
    <col min="523" max="523" width="17.125" style="3" customWidth="1"/>
    <col min="524" max="537" width="0" style="3" hidden="1" customWidth="1"/>
    <col min="538" max="768" width="9" style="3"/>
    <col min="769" max="769" width="0" style="3" hidden="1" customWidth="1"/>
    <col min="770" max="770" width="5.75" style="3" customWidth="1"/>
    <col min="771" max="771" width="21.625" style="3" customWidth="1"/>
    <col min="772" max="772" width="17.5" style="3" customWidth="1"/>
    <col min="773" max="773" width="19.125" style="3" customWidth="1"/>
    <col min="774" max="774" width="7.75" style="3" customWidth="1"/>
    <col min="775" max="775" width="8.875" style="3" customWidth="1"/>
    <col min="776" max="776" width="7.875" style="3" customWidth="1"/>
    <col min="777" max="778" width="8.75" style="3" customWidth="1"/>
    <col min="779" max="779" width="17.125" style="3" customWidth="1"/>
    <col min="780" max="793" width="0" style="3" hidden="1" customWidth="1"/>
    <col min="794" max="1024" width="9" style="3"/>
    <col min="1025" max="1025" width="0" style="3" hidden="1" customWidth="1"/>
    <col min="1026" max="1026" width="5.75" style="3" customWidth="1"/>
    <col min="1027" max="1027" width="21.625" style="3" customWidth="1"/>
    <col min="1028" max="1028" width="17.5" style="3" customWidth="1"/>
    <col min="1029" max="1029" width="19.125" style="3" customWidth="1"/>
    <col min="1030" max="1030" width="7.75" style="3" customWidth="1"/>
    <col min="1031" max="1031" width="8.875" style="3" customWidth="1"/>
    <col min="1032" max="1032" width="7.875" style="3" customWidth="1"/>
    <col min="1033" max="1034" width="8.75" style="3" customWidth="1"/>
    <col min="1035" max="1035" width="17.125" style="3" customWidth="1"/>
    <col min="1036" max="1049" width="0" style="3" hidden="1" customWidth="1"/>
    <col min="1050" max="1280" width="9" style="3"/>
    <col min="1281" max="1281" width="0" style="3" hidden="1" customWidth="1"/>
    <col min="1282" max="1282" width="5.75" style="3" customWidth="1"/>
    <col min="1283" max="1283" width="21.625" style="3" customWidth="1"/>
    <col min="1284" max="1284" width="17.5" style="3" customWidth="1"/>
    <col min="1285" max="1285" width="19.125" style="3" customWidth="1"/>
    <col min="1286" max="1286" width="7.75" style="3" customWidth="1"/>
    <col min="1287" max="1287" width="8.875" style="3" customWidth="1"/>
    <col min="1288" max="1288" width="7.875" style="3" customWidth="1"/>
    <col min="1289" max="1290" width="8.75" style="3" customWidth="1"/>
    <col min="1291" max="1291" width="17.125" style="3" customWidth="1"/>
    <col min="1292" max="1305" width="0" style="3" hidden="1" customWidth="1"/>
    <col min="1306" max="1536" width="9" style="3"/>
    <col min="1537" max="1537" width="0" style="3" hidden="1" customWidth="1"/>
    <col min="1538" max="1538" width="5.75" style="3" customWidth="1"/>
    <col min="1539" max="1539" width="21.625" style="3" customWidth="1"/>
    <col min="1540" max="1540" width="17.5" style="3" customWidth="1"/>
    <col min="1541" max="1541" width="19.125" style="3" customWidth="1"/>
    <col min="1542" max="1542" width="7.75" style="3" customWidth="1"/>
    <col min="1543" max="1543" width="8.875" style="3" customWidth="1"/>
    <col min="1544" max="1544" width="7.875" style="3" customWidth="1"/>
    <col min="1545" max="1546" width="8.75" style="3" customWidth="1"/>
    <col min="1547" max="1547" width="17.125" style="3" customWidth="1"/>
    <col min="1548" max="1561" width="0" style="3" hidden="1" customWidth="1"/>
    <col min="1562" max="1792" width="9" style="3"/>
    <col min="1793" max="1793" width="0" style="3" hidden="1" customWidth="1"/>
    <col min="1794" max="1794" width="5.75" style="3" customWidth="1"/>
    <col min="1795" max="1795" width="21.625" style="3" customWidth="1"/>
    <col min="1796" max="1796" width="17.5" style="3" customWidth="1"/>
    <col min="1797" max="1797" width="19.125" style="3" customWidth="1"/>
    <col min="1798" max="1798" width="7.75" style="3" customWidth="1"/>
    <col min="1799" max="1799" width="8.875" style="3" customWidth="1"/>
    <col min="1800" max="1800" width="7.875" style="3" customWidth="1"/>
    <col min="1801" max="1802" width="8.75" style="3" customWidth="1"/>
    <col min="1803" max="1803" width="17.125" style="3" customWidth="1"/>
    <col min="1804" max="1817" width="0" style="3" hidden="1" customWidth="1"/>
    <col min="1818" max="2048" width="9" style="3"/>
    <col min="2049" max="2049" width="0" style="3" hidden="1" customWidth="1"/>
    <col min="2050" max="2050" width="5.75" style="3" customWidth="1"/>
    <col min="2051" max="2051" width="21.625" style="3" customWidth="1"/>
    <col min="2052" max="2052" width="17.5" style="3" customWidth="1"/>
    <col min="2053" max="2053" width="19.125" style="3" customWidth="1"/>
    <col min="2054" max="2054" width="7.75" style="3" customWidth="1"/>
    <col min="2055" max="2055" width="8.875" style="3" customWidth="1"/>
    <col min="2056" max="2056" width="7.875" style="3" customWidth="1"/>
    <col min="2057" max="2058" width="8.75" style="3" customWidth="1"/>
    <col min="2059" max="2059" width="17.125" style="3" customWidth="1"/>
    <col min="2060" max="2073" width="0" style="3" hidden="1" customWidth="1"/>
    <col min="2074" max="2304" width="9" style="3"/>
    <col min="2305" max="2305" width="0" style="3" hidden="1" customWidth="1"/>
    <col min="2306" max="2306" width="5.75" style="3" customWidth="1"/>
    <col min="2307" max="2307" width="21.625" style="3" customWidth="1"/>
    <col min="2308" max="2308" width="17.5" style="3" customWidth="1"/>
    <col min="2309" max="2309" width="19.125" style="3" customWidth="1"/>
    <col min="2310" max="2310" width="7.75" style="3" customWidth="1"/>
    <col min="2311" max="2311" width="8.875" style="3" customWidth="1"/>
    <col min="2312" max="2312" width="7.875" style="3" customWidth="1"/>
    <col min="2313" max="2314" width="8.75" style="3" customWidth="1"/>
    <col min="2315" max="2315" width="17.125" style="3" customWidth="1"/>
    <col min="2316" max="2329" width="0" style="3" hidden="1" customWidth="1"/>
    <col min="2330" max="2560" width="9" style="3"/>
    <col min="2561" max="2561" width="0" style="3" hidden="1" customWidth="1"/>
    <col min="2562" max="2562" width="5.75" style="3" customWidth="1"/>
    <col min="2563" max="2563" width="21.625" style="3" customWidth="1"/>
    <col min="2564" max="2564" width="17.5" style="3" customWidth="1"/>
    <col min="2565" max="2565" width="19.125" style="3" customWidth="1"/>
    <col min="2566" max="2566" width="7.75" style="3" customWidth="1"/>
    <col min="2567" max="2567" width="8.875" style="3" customWidth="1"/>
    <col min="2568" max="2568" width="7.875" style="3" customWidth="1"/>
    <col min="2569" max="2570" width="8.75" style="3" customWidth="1"/>
    <col min="2571" max="2571" width="17.125" style="3" customWidth="1"/>
    <col min="2572" max="2585" width="0" style="3" hidden="1" customWidth="1"/>
    <col min="2586" max="2816" width="9" style="3"/>
    <col min="2817" max="2817" width="0" style="3" hidden="1" customWidth="1"/>
    <col min="2818" max="2818" width="5.75" style="3" customWidth="1"/>
    <col min="2819" max="2819" width="21.625" style="3" customWidth="1"/>
    <col min="2820" max="2820" width="17.5" style="3" customWidth="1"/>
    <col min="2821" max="2821" width="19.125" style="3" customWidth="1"/>
    <col min="2822" max="2822" width="7.75" style="3" customWidth="1"/>
    <col min="2823" max="2823" width="8.875" style="3" customWidth="1"/>
    <col min="2824" max="2824" width="7.875" style="3" customWidth="1"/>
    <col min="2825" max="2826" width="8.75" style="3" customWidth="1"/>
    <col min="2827" max="2827" width="17.125" style="3" customWidth="1"/>
    <col min="2828" max="2841" width="0" style="3" hidden="1" customWidth="1"/>
    <col min="2842" max="3072" width="9" style="3"/>
    <col min="3073" max="3073" width="0" style="3" hidden="1" customWidth="1"/>
    <col min="3074" max="3074" width="5.75" style="3" customWidth="1"/>
    <col min="3075" max="3075" width="21.625" style="3" customWidth="1"/>
    <col min="3076" max="3076" width="17.5" style="3" customWidth="1"/>
    <col min="3077" max="3077" width="19.125" style="3" customWidth="1"/>
    <col min="3078" max="3078" width="7.75" style="3" customWidth="1"/>
    <col min="3079" max="3079" width="8.875" style="3" customWidth="1"/>
    <col min="3080" max="3080" width="7.875" style="3" customWidth="1"/>
    <col min="3081" max="3082" width="8.75" style="3" customWidth="1"/>
    <col min="3083" max="3083" width="17.125" style="3" customWidth="1"/>
    <col min="3084" max="3097" width="0" style="3" hidden="1" customWidth="1"/>
    <col min="3098" max="3328" width="9" style="3"/>
    <col min="3329" max="3329" width="0" style="3" hidden="1" customWidth="1"/>
    <col min="3330" max="3330" width="5.75" style="3" customWidth="1"/>
    <col min="3331" max="3331" width="21.625" style="3" customWidth="1"/>
    <col min="3332" max="3332" width="17.5" style="3" customWidth="1"/>
    <col min="3333" max="3333" width="19.125" style="3" customWidth="1"/>
    <col min="3334" max="3334" width="7.75" style="3" customWidth="1"/>
    <col min="3335" max="3335" width="8.875" style="3" customWidth="1"/>
    <col min="3336" max="3336" width="7.875" style="3" customWidth="1"/>
    <col min="3337" max="3338" width="8.75" style="3" customWidth="1"/>
    <col min="3339" max="3339" width="17.125" style="3" customWidth="1"/>
    <col min="3340" max="3353" width="0" style="3" hidden="1" customWidth="1"/>
    <col min="3354" max="3584" width="9" style="3"/>
    <col min="3585" max="3585" width="0" style="3" hidden="1" customWidth="1"/>
    <col min="3586" max="3586" width="5.75" style="3" customWidth="1"/>
    <col min="3587" max="3587" width="21.625" style="3" customWidth="1"/>
    <col min="3588" max="3588" width="17.5" style="3" customWidth="1"/>
    <col min="3589" max="3589" width="19.125" style="3" customWidth="1"/>
    <col min="3590" max="3590" width="7.75" style="3" customWidth="1"/>
    <col min="3591" max="3591" width="8.875" style="3" customWidth="1"/>
    <col min="3592" max="3592" width="7.875" style="3" customWidth="1"/>
    <col min="3593" max="3594" width="8.75" style="3" customWidth="1"/>
    <col min="3595" max="3595" width="17.125" style="3" customWidth="1"/>
    <col min="3596" max="3609" width="0" style="3" hidden="1" customWidth="1"/>
    <col min="3610" max="3840" width="9" style="3"/>
    <col min="3841" max="3841" width="0" style="3" hidden="1" customWidth="1"/>
    <col min="3842" max="3842" width="5.75" style="3" customWidth="1"/>
    <col min="3843" max="3843" width="21.625" style="3" customWidth="1"/>
    <col min="3844" max="3844" width="17.5" style="3" customWidth="1"/>
    <col min="3845" max="3845" width="19.125" style="3" customWidth="1"/>
    <col min="3846" max="3846" width="7.75" style="3" customWidth="1"/>
    <col min="3847" max="3847" width="8.875" style="3" customWidth="1"/>
    <col min="3848" max="3848" width="7.875" style="3" customWidth="1"/>
    <col min="3849" max="3850" width="8.75" style="3" customWidth="1"/>
    <col min="3851" max="3851" width="17.125" style="3" customWidth="1"/>
    <col min="3852" max="3865" width="0" style="3" hidden="1" customWidth="1"/>
    <col min="3866" max="4096" width="9" style="3"/>
    <col min="4097" max="4097" width="0" style="3" hidden="1" customWidth="1"/>
    <col min="4098" max="4098" width="5.75" style="3" customWidth="1"/>
    <col min="4099" max="4099" width="21.625" style="3" customWidth="1"/>
    <col min="4100" max="4100" width="17.5" style="3" customWidth="1"/>
    <col min="4101" max="4101" width="19.125" style="3" customWidth="1"/>
    <col min="4102" max="4102" width="7.75" style="3" customWidth="1"/>
    <col min="4103" max="4103" width="8.875" style="3" customWidth="1"/>
    <col min="4104" max="4104" width="7.875" style="3" customWidth="1"/>
    <col min="4105" max="4106" width="8.75" style="3" customWidth="1"/>
    <col min="4107" max="4107" width="17.125" style="3" customWidth="1"/>
    <col min="4108" max="4121" width="0" style="3" hidden="1" customWidth="1"/>
    <col min="4122" max="4352" width="9" style="3"/>
    <col min="4353" max="4353" width="0" style="3" hidden="1" customWidth="1"/>
    <col min="4354" max="4354" width="5.75" style="3" customWidth="1"/>
    <col min="4355" max="4355" width="21.625" style="3" customWidth="1"/>
    <col min="4356" max="4356" width="17.5" style="3" customWidth="1"/>
    <col min="4357" max="4357" width="19.125" style="3" customWidth="1"/>
    <col min="4358" max="4358" width="7.75" style="3" customWidth="1"/>
    <col min="4359" max="4359" width="8.875" style="3" customWidth="1"/>
    <col min="4360" max="4360" width="7.875" style="3" customWidth="1"/>
    <col min="4361" max="4362" width="8.75" style="3" customWidth="1"/>
    <col min="4363" max="4363" width="17.125" style="3" customWidth="1"/>
    <col min="4364" max="4377" width="0" style="3" hidden="1" customWidth="1"/>
    <col min="4378" max="4608" width="9" style="3"/>
    <col min="4609" max="4609" width="0" style="3" hidden="1" customWidth="1"/>
    <col min="4610" max="4610" width="5.75" style="3" customWidth="1"/>
    <col min="4611" max="4611" width="21.625" style="3" customWidth="1"/>
    <col min="4612" max="4612" width="17.5" style="3" customWidth="1"/>
    <col min="4613" max="4613" width="19.125" style="3" customWidth="1"/>
    <col min="4614" max="4614" width="7.75" style="3" customWidth="1"/>
    <col min="4615" max="4615" width="8.875" style="3" customWidth="1"/>
    <col min="4616" max="4616" width="7.875" style="3" customWidth="1"/>
    <col min="4617" max="4618" width="8.75" style="3" customWidth="1"/>
    <col min="4619" max="4619" width="17.125" style="3" customWidth="1"/>
    <col min="4620" max="4633" width="0" style="3" hidden="1" customWidth="1"/>
    <col min="4634" max="4864" width="9" style="3"/>
    <col min="4865" max="4865" width="0" style="3" hidden="1" customWidth="1"/>
    <col min="4866" max="4866" width="5.75" style="3" customWidth="1"/>
    <col min="4867" max="4867" width="21.625" style="3" customWidth="1"/>
    <col min="4868" max="4868" width="17.5" style="3" customWidth="1"/>
    <col min="4869" max="4869" width="19.125" style="3" customWidth="1"/>
    <col min="4870" max="4870" width="7.75" style="3" customWidth="1"/>
    <col min="4871" max="4871" width="8.875" style="3" customWidth="1"/>
    <col min="4872" max="4872" width="7.875" style="3" customWidth="1"/>
    <col min="4873" max="4874" width="8.75" style="3" customWidth="1"/>
    <col min="4875" max="4875" width="17.125" style="3" customWidth="1"/>
    <col min="4876" max="4889" width="0" style="3" hidden="1" customWidth="1"/>
    <col min="4890" max="5120" width="9" style="3"/>
    <col min="5121" max="5121" width="0" style="3" hidden="1" customWidth="1"/>
    <col min="5122" max="5122" width="5.75" style="3" customWidth="1"/>
    <col min="5123" max="5123" width="21.625" style="3" customWidth="1"/>
    <col min="5124" max="5124" width="17.5" style="3" customWidth="1"/>
    <col min="5125" max="5125" width="19.125" style="3" customWidth="1"/>
    <col min="5126" max="5126" width="7.75" style="3" customWidth="1"/>
    <col min="5127" max="5127" width="8.875" style="3" customWidth="1"/>
    <col min="5128" max="5128" width="7.875" style="3" customWidth="1"/>
    <col min="5129" max="5130" width="8.75" style="3" customWidth="1"/>
    <col min="5131" max="5131" width="17.125" style="3" customWidth="1"/>
    <col min="5132" max="5145" width="0" style="3" hidden="1" customWidth="1"/>
    <col min="5146" max="5376" width="9" style="3"/>
    <col min="5377" max="5377" width="0" style="3" hidden="1" customWidth="1"/>
    <col min="5378" max="5378" width="5.75" style="3" customWidth="1"/>
    <col min="5379" max="5379" width="21.625" style="3" customWidth="1"/>
    <col min="5380" max="5380" width="17.5" style="3" customWidth="1"/>
    <col min="5381" max="5381" width="19.125" style="3" customWidth="1"/>
    <col min="5382" max="5382" width="7.75" style="3" customWidth="1"/>
    <col min="5383" max="5383" width="8.875" style="3" customWidth="1"/>
    <col min="5384" max="5384" width="7.875" style="3" customWidth="1"/>
    <col min="5385" max="5386" width="8.75" style="3" customWidth="1"/>
    <col min="5387" max="5387" width="17.125" style="3" customWidth="1"/>
    <col min="5388" max="5401" width="0" style="3" hidden="1" customWidth="1"/>
    <col min="5402" max="5632" width="9" style="3"/>
    <col min="5633" max="5633" width="0" style="3" hidden="1" customWidth="1"/>
    <col min="5634" max="5634" width="5.75" style="3" customWidth="1"/>
    <col min="5635" max="5635" width="21.625" style="3" customWidth="1"/>
    <col min="5636" max="5636" width="17.5" style="3" customWidth="1"/>
    <col min="5637" max="5637" width="19.125" style="3" customWidth="1"/>
    <col min="5638" max="5638" width="7.75" style="3" customWidth="1"/>
    <col min="5639" max="5639" width="8.875" style="3" customWidth="1"/>
    <col min="5640" max="5640" width="7.875" style="3" customWidth="1"/>
    <col min="5641" max="5642" width="8.75" style="3" customWidth="1"/>
    <col min="5643" max="5643" width="17.125" style="3" customWidth="1"/>
    <col min="5644" max="5657" width="0" style="3" hidden="1" customWidth="1"/>
    <col min="5658" max="5888" width="9" style="3"/>
    <col min="5889" max="5889" width="0" style="3" hidden="1" customWidth="1"/>
    <col min="5890" max="5890" width="5.75" style="3" customWidth="1"/>
    <col min="5891" max="5891" width="21.625" style="3" customWidth="1"/>
    <col min="5892" max="5892" width="17.5" style="3" customWidth="1"/>
    <col min="5893" max="5893" width="19.125" style="3" customWidth="1"/>
    <col min="5894" max="5894" width="7.75" style="3" customWidth="1"/>
    <col min="5895" max="5895" width="8.875" style="3" customWidth="1"/>
    <col min="5896" max="5896" width="7.875" style="3" customWidth="1"/>
    <col min="5897" max="5898" width="8.75" style="3" customWidth="1"/>
    <col min="5899" max="5899" width="17.125" style="3" customWidth="1"/>
    <col min="5900" max="5913" width="0" style="3" hidden="1" customWidth="1"/>
    <col min="5914" max="6144" width="9" style="3"/>
    <col min="6145" max="6145" width="0" style="3" hidden="1" customWidth="1"/>
    <col min="6146" max="6146" width="5.75" style="3" customWidth="1"/>
    <col min="6147" max="6147" width="21.625" style="3" customWidth="1"/>
    <col min="6148" max="6148" width="17.5" style="3" customWidth="1"/>
    <col min="6149" max="6149" width="19.125" style="3" customWidth="1"/>
    <col min="6150" max="6150" width="7.75" style="3" customWidth="1"/>
    <col min="6151" max="6151" width="8.875" style="3" customWidth="1"/>
    <col min="6152" max="6152" width="7.875" style="3" customWidth="1"/>
    <col min="6153" max="6154" width="8.75" style="3" customWidth="1"/>
    <col min="6155" max="6155" width="17.125" style="3" customWidth="1"/>
    <col min="6156" max="6169" width="0" style="3" hidden="1" customWidth="1"/>
    <col min="6170" max="6400" width="9" style="3"/>
    <col min="6401" max="6401" width="0" style="3" hidden="1" customWidth="1"/>
    <col min="6402" max="6402" width="5.75" style="3" customWidth="1"/>
    <col min="6403" max="6403" width="21.625" style="3" customWidth="1"/>
    <col min="6404" max="6404" width="17.5" style="3" customWidth="1"/>
    <col min="6405" max="6405" width="19.125" style="3" customWidth="1"/>
    <col min="6406" max="6406" width="7.75" style="3" customWidth="1"/>
    <col min="6407" max="6407" width="8.875" style="3" customWidth="1"/>
    <col min="6408" max="6408" width="7.875" style="3" customWidth="1"/>
    <col min="6409" max="6410" width="8.75" style="3" customWidth="1"/>
    <col min="6411" max="6411" width="17.125" style="3" customWidth="1"/>
    <col min="6412" max="6425" width="0" style="3" hidden="1" customWidth="1"/>
    <col min="6426" max="6656" width="9" style="3"/>
    <col min="6657" max="6657" width="0" style="3" hidden="1" customWidth="1"/>
    <col min="6658" max="6658" width="5.75" style="3" customWidth="1"/>
    <col min="6659" max="6659" width="21.625" style="3" customWidth="1"/>
    <col min="6660" max="6660" width="17.5" style="3" customWidth="1"/>
    <col min="6661" max="6661" width="19.125" style="3" customWidth="1"/>
    <col min="6662" max="6662" width="7.75" style="3" customWidth="1"/>
    <col min="6663" max="6663" width="8.875" style="3" customWidth="1"/>
    <col min="6664" max="6664" width="7.875" style="3" customWidth="1"/>
    <col min="6665" max="6666" width="8.75" style="3" customWidth="1"/>
    <col min="6667" max="6667" width="17.125" style="3" customWidth="1"/>
    <col min="6668" max="6681" width="0" style="3" hidden="1" customWidth="1"/>
    <col min="6682" max="6912" width="9" style="3"/>
    <col min="6913" max="6913" width="0" style="3" hidden="1" customWidth="1"/>
    <col min="6914" max="6914" width="5.75" style="3" customWidth="1"/>
    <col min="6915" max="6915" width="21.625" style="3" customWidth="1"/>
    <col min="6916" max="6916" width="17.5" style="3" customWidth="1"/>
    <col min="6917" max="6917" width="19.125" style="3" customWidth="1"/>
    <col min="6918" max="6918" width="7.75" style="3" customWidth="1"/>
    <col min="6919" max="6919" width="8.875" style="3" customWidth="1"/>
    <col min="6920" max="6920" width="7.875" style="3" customWidth="1"/>
    <col min="6921" max="6922" width="8.75" style="3" customWidth="1"/>
    <col min="6923" max="6923" width="17.125" style="3" customWidth="1"/>
    <col min="6924" max="6937" width="0" style="3" hidden="1" customWidth="1"/>
    <col min="6938" max="7168" width="9" style="3"/>
    <col min="7169" max="7169" width="0" style="3" hidden="1" customWidth="1"/>
    <col min="7170" max="7170" width="5.75" style="3" customWidth="1"/>
    <col min="7171" max="7171" width="21.625" style="3" customWidth="1"/>
    <col min="7172" max="7172" width="17.5" style="3" customWidth="1"/>
    <col min="7173" max="7173" width="19.125" style="3" customWidth="1"/>
    <col min="7174" max="7174" width="7.75" style="3" customWidth="1"/>
    <col min="7175" max="7175" width="8.875" style="3" customWidth="1"/>
    <col min="7176" max="7176" width="7.875" style="3" customWidth="1"/>
    <col min="7177" max="7178" width="8.75" style="3" customWidth="1"/>
    <col min="7179" max="7179" width="17.125" style="3" customWidth="1"/>
    <col min="7180" max="7193" width="0" style="3" hidden="1" customWidth="1"/>
    <col min="7194" max="7424" width="9" style="3"/>
    <col min="7425" max="7425" width="0" style="3" hidden="1" customWidth="1"/>
    <col min="7426" max="7426" width="5.75" style="3" customWidth="1"/>
    <col min="7427" max="7427" width="21.625" style="3" customWidth="1"/>
    <col min="7428" max="7428" width="17.5" style="3" customWidth="1"/>
    <col min="7429" max="7429" width="19.125" style="3" customWidth="1"/>
    <col min="7430" max="7430" width="7.75" style="3" customWidth="1"/>
    <col min="7431" max="7431" width="8.875" style="3" customWidth="1"/>
    <col min="7432" max="7432" width="7.875" style="3" customWidth="1"/>
    <col min="7433" max="7434" width="8.75" style="3" customWidth="1"/>
    <col min="7435" max="7435" width="17.125" style="3" customWidth="1"/>
    <col min="7436" max="7449" width="0" style="3" hidden="1" customWidth="1"/>
    <col min="7450" max="7680" width="9" style="3"/>
    <col min="7681" max="7681" width="0" style="3" hidden="1" customWidth="1"/>
    <col min="7682" max="7682" width="5.75" style="3" customWidth="1"/>
    <col min="7683" max="7683" width="21.625" style="3" customWidth="1"/>
    <col min="7684" max="7684" width="17.5" style="3" customWidth="1"/>
    <col min="7685" max="7685" width="19.125" style="3" customWidth="1"/>
    <col min="7686" max="7686" width="7.75" style="3" customWidth="1"/>
    <col min="7687" max="7687" width="8.875" style="3" customWidth="1"/>
    <col min="7688" max="7688" width="7.875" style="3" customWidth="1"/>
    <col min="7689" max="7690" width="8.75" style="3" customWidth="1"/>
    <col min="7691" max="7691" width="17.125" style="3" customWidth="1"/>
    <col min="7692" max="7705" width="0" style="3" hidden="1" customWidth="1"/>
    <col min="7706" max="7936" width="9" style="3"/>
    <col min="7937" max="7937" width="0" style="3" hidden="1" customWidth="1"/>
    <col min="7938" max="7938" width="5.75" style="3" customWidth="1"/>
    <col min="7939" max="7939" width="21.625" style="3" customWidth="1"/>
    <col min="7940" max="7940" width="17.5" style="3" customWidth="1"/>
    <col min="7941" max="7941" width="19.125" style="3" customWidth="1"/>
    <col min="7942" max="7942" width="7.75" style="3" customWidth="1"/>
    <col min="7943" max="7943" width="8.875" style="3" customWidth="1"/>
    <col min="7944" max="7944" width="7.875" style="3" customWidth="1"/>
    <col min="7945" max="7946" width="8.75" style="3" customWidth="1"/>
    <col min="7947" max="7947" width="17.125" style="3" customWidth="1"/>
    <col min="7948" max="7961" width="0" style="3" hidden="1" customWidth="1"/>
    <col min="7962" max="8192" width="9" style="3"/>
    <col min="8193" max="8193" width="0" style="3" hidden="1" customWidth="1"/>
    <col min="8194" max="8194" width="5.75" style="3" customWidth="1"/>
    <col min="8195" max="8195" width="21.625" style="3" customWidth="1"/>
    <col min="8196" max="8196" width="17.5" style="3" customWidth="1"/>
    <col min="8197" max="8197" width="19.125" style="3" customWidth="1"/>
    <col min="8198" max="8198" width="7.75" style="3" customWidth="1"/>
    <col min="8199" max="8199" width="8.875" style="3" customWidth="1"/>
    <col min="8200" max="8200" width="7.875" style="3" customWidth="1"/>
    <col min="8201" max="8202" width="8.75" style="3" customWidth="1"/>
    <col min="8203" max="8203" width="17.125" style="3" customWidth="1"/>
    <col min="8204" max="8217" width="0" style="3" hidden="1" customWidth="1"/>
    <col min="8218" max="8448" width="9" style="3"/>
    <col min="8449" max="8449" width="0" style="3" hidden="1" customWidth="1"/>
    <col min="8450" max="8450" width="5.75" style="3" customWidth="1"/>
    <col min="8451" max="8451" width="21.625" style="3" customWidth="1"/>
    <col min="8452" max="8452" width="17.5" style="3" customWidth="1"/>
    <col min="8453" max="8453" width="19.125" style="3" customWidth="1"/>
    <col min="8454" max="8454" width="7.75" style="3" customWidth="1"/>
    <col min="8455" max="8455" width="8.875" style="3" customWidth="1"/>
    <col min="8456" max="8456" width="7.875" style="3" customWidth="1"/>
    <col min="8457" max="8458" width="8.75" style="3" customWidth="1"/>
    <col min="8459" max="8459" width="17.125" style="3" customWidth="1"/>
    <col min="8460" max="8473" width="0" style="3" hidden="1" customWidth="1"/>
    <col min="8474" max="8704" width="9" style="3"/>
    <col min="8705" max="8705" width="0" style="3" hidden="1" customWidth="1"/>
    <col min="8706" max="8706" width="5.75" style="3" customWidth="1"/>
    <col min="8707" max="8707" width="21.625" style="3" customWidth="1"/>
    <col min="8708" max="8708" width="17.5" style="3" customWidth="1"/>
    <col min="8709" max="8709" width="19.125" style="3" customWidth="1"/>
    <col min="8710" max="8710" width="7.75" style="3" customWidth="1"/>
    <col min="8711" max="8711" width="8.875" style="3" customWidth="1"/>
    <col min="8712" max="8712" width="7.875" style="3" customWidth="1"/>
    <col min="8713" max="8714" width="8.75" style="3" customWidth="1"/>
    <col min="8715" max="8715" width="17.125" style="3" customWidth="1"/>
    <col min="8716" max="8729" width="0" style="3" hidden="1" customWidth="1"/>
    <col min="8730" max="8960" width="9" style="3"/>
    <col min="8961" max="8961" width="0" style="3" hidden="1" customWidth="1"/>
    <col min="8962" max="8962" width="5.75" style="3" customWidth="1"/>
    <col min="8963" max="8963" width="21.625" style="3" customWidth="1"/>
    <col min="8964" max="8964" width="17.5" style="3" customWidth="1"/>
    <col min="8965" max="8965" width="19.125" style="3" customWidth="1"/>
    <col min="8966" max="8966" width="7.75" style="3" customWidth="1"/>
    <col min="8967" max="8967" width="8.875" style="3" customWidth="1"/>
    <col min="8968" max="8968" width="7.875" style="3" customWidth="1"/>
    <col min="8969" max="8970" width="8.75" style="3" customWidth="1"/>
    <col min="8971" max="8971" width="17.125" style="3" customWidth="1"/>
    <col min="8972" max="8985" width="0" style="3" hidden="1" customWidth="1"/>
    <col min="8986" max="9216" width="9" style="3"/>
    <col min="9217" max="9217" width="0" style="3" hidden="1" customWidth="1"/>
    <col min="9218" max="9218" width="5.75" style="3" customWidth="1"/>
    <col min="9219" max="9219" width="21.625" style="3" customWidth="1"/>
    <col min="9220" max="9220" width="17.5" style="3" customWidth="1"/>
    <col min="9221" max="9221" width="19.125" style="3" customWidth="1"/>
    <col min="9222" max="9222" width="7.75" style="3" customWidth="1"/>
    <col min="9223" max="9223" width="8.875" style="3" customWidth="1"/>
    <col min="9224" max="9224" width="7.875" style="3" customWidth="1"/>
    <col min="9225" max="9226" width="8.75" style="3" customWidth="1"/>
    <col min="9227" max="9227" width="17.125" style="3" customWidth="1"/>
    <col min="9228" max="9241" width="0" style="3" hidden="1" customWidth="1"/>
    <col min="9242" max="9472" width="9" style="3"/>
    <col min="9473" max="9473" width="0" style="3" hidden="1" customWidth="1"/>
    <col min="9474" max="9474" width="5.75" style="3" customWidth="1"/>
    <col min="9475" max="9475" width="21.625" style="3" customWidth="1"/>
    <col min="9476" max="9476" width="17.5" style="3" customWidth="1"/>
    <col min="9477" max="9477" width="19.125" style="3" customWidth="1"/>
    <col min="9478" max="9478" width="7.75" style="3" customWidth="1"/>
    <col min="9479" max="9479" width="8.875" style="3" customWidth="1"/>
    <col min="9480" max="9480" width="7.875" style="3" customWidth="1"/>
    <col min="9481" max="9482" width="8.75" style="3" customWidth="1"/>
    <col min="9483" max="9483" width="17.125" style="3" customWidth="1"/>
    <col min="9484" max="9497" width="0" style="3" hidden="1" customWidth="1"/>
    <col min="9498" max="9728" width="9" style="3"/>
    <col min="9729" max="9729" width="0" style="3" hidden="1" customWidth="1"/>
    <col min="9730" max="9730" width="5.75" style="3" customWidth="1"/>
    <col min="9731" max="9731" width="21.625" style="3" customWidth="1"/>
    <col min="9732" max="9732" width="17.5" style="3" customWidth="1"/>
    <col min="9733" max="9733" width="19.125" style="3" customWidth="1"/>
    <col min="9734" max="9734" width="7.75" style="3" customWidth="1"/>
    <col min="9735" max="9735" width="8.875" style="3" customWidth="1"/>
    <col min="9736" max="9736" width="7.875" style="3" customWidth="1"/>
    <col min="9737" max="9738" width="8.75" style="3" customWidth="1"/>
    <col min="9739" max="9739" width="17.125" style="3" customWidth="1"/>
    <col min="9740" max="9753" width="0" style="3" hidden="1" customWidth="1"/>
    <col min="9754" max="9984" width="9" style="3"/>
    <col min="9985" max="9985" width="0" style="3" hidden="1" customWidth="1"/>
    <col min="9986" max="9986" width="5.75" style="3" customWidth="1"/>
    <col min="9987" max="9987" width="21.625" style="3" customWidth="1"/>
    <col min="9988" max="9988" width="17.5" style="3" customWidth="1"/>
    <col min="9989" max="9989" width="19.125" style="3" customWidth="1"/>
    <col min="9990" max="9990" width="7.75" style="3" customWidth="1"/>
    <col min="9991" max="9991" width="8.875" style="3" customWidth="1"/>
    <col min="9992" max="9992" width="7.875" style="3" customWidth="1"/>
    <col min="9993" max="9994" width="8.75" style="3" customWidth="1"/>
    <col min="9995" max="9995" width="17.125" style="3" customWidth="1"/>
    <col min="9996" max="10009" width="0" style="3" hidden="1" customWidth="1"/>
    <col min="10010" max="10240" width="9" style="3"/>
    <col min="10241" max="10241" width="0" style="3" hidden="1" customWidth="1"/>
    <col min="10242" max="10242" width="5.75" style="3" customWidth="1"/>
    <col min="10243" max="10243" width="21.625" style="3" customWidth="1"/>
    <col min="10244" max="10244" width="17.5" style="3" customWidth="1"/>
    <col min="10245" max="10245" width="19.125" style="3" customWidth="1"/>
    <col min="10246" max="10246" width="7.75" style="3" customWidth="1"/>
    <col min="10247" max="10247" width="8.875" style="3" customWidth="1"/>
    <col min="10248" max="10248" width="7.875" style="3" customWidth="1"/>
    <col min="10249" max="10250" width="8.75" style="3" customWidth="1"/>
    <col min="10251" max="10251" width="17.125" style="3" customWidth="1"/>
    <col min="10252" max="10265" width="0" style="3" hidden="1" customWidth="1"/>
    <col min="10266" max="10496" width="9" style="3"/>
    <col min="10497" max="10497" width="0" style="3" hidden="1" customWidth="1"/>
    <col min="10498" max="10498" width="5.75" style="3" customWidth="1"/>
    <col min="10499" max="10499" width="21.625" style="3" customWidth="1"/>
    <col min="10500" max="10500" width="17.5" style="3" customWidth="1"/>
    <col min="10501" max="10501" width="19.125" style="3" customWidth="1"/>
    <col min="10502" max="10502" width="7.75" style="3" customWidth="1"/>
    <col min="10503" max="10503" width="8.875" style="3" customWidth="1"/>
    <col min="10504" max="10504" width="7.875" style="3" customWidth="1"/>
    <col min="10505" max="10506" width="8.75" style="3" customWidth="1"/>
    <col min="10507" max="10507" width="17.125" style="3" customWidth="1"/>
    <col min="10508" max="10521" width="0" style="3" hidden="1" customWidth="1"/>
    <col min="10522" max="10752" width="9" style="3"/>
    <col min="10753" max="10753" width="0" style="3" hidden="1" customWidth="1"/>
    <col min="10754" max="10754" width="5.75" style="3" customWidth="1"/>
    <col min="10755" max="10755" width="21.625" style="3" customWidth="1"/>
    <col min="10756" max="10756" width="17.5" style="3" customWidth="1"/>
    <col min="10757" max="10757" width="19.125" style="3" customWidth="1"/>
    <col min="10758" max="10758" width="7.75" style="3" customWidth="1"/>
    <col min="10759" max="10759" width="8.875" style="3" customWidth="1"/>
    <col min="10760" max="10760" width="7.875" style="3" customWidth="1"/>
    <col min="10761" max="10762" width="8.75" style="3" customWidth="1"/>
    <col min="10763" max="10763" width="17.125" style="3" customWidth="1"/>
    <col min="10764" max="10777" width="0" style="3" hidden="1" customWidth="1"/>
    <col min="10778" max="11008" width="9" style="3"/>
    <col min="11009" max="11009" width="0" style="3" hidden="1" customWidth="1"/>
    <col min="11010" max="11010" width="5.75" style="3" customWidth="1"/>
    <col min="11011" max="11011" width="21.625" style="3" customWidth="1"/>
    <col min="11012" max="11012" width="17.5" style="3" customWidth="1"/>
    <col min="11013" max="11013" width="19.125" style="3" customWidth="1"/>
    <col min="11014" max="11014" width="7.75" style="3" customWidth="1"/>
    <col min="11015" max="11015" width="8.875" style="3" customWidth="1"/>
    <col min="11016" max="11016" width="7.875" style="3" customWidth="1"/>
    <col min="11017" max="11018" width="8.75" style="3" customWidth="1"/>
    <col min="11019" max="11019" width="17.125" style="3" customWidth="1"/>
    <col min="11020" max="11033" width="0" style="3" hidden="1" customWidth="1"/>
    <col min="11034" max="11264" width="9" style="3"/>
    <col min="11265" max="11265" width="0" style="3" hidden="1" customWidth="1"/>
    <col min="11266" max="11266" width="5.75" style="3" customWidth="1"/>
    <col min="11267" max="11267" width="21.625" style="3" customWidth="1"/>
    <col min="11268" max="11268" width="17.5" style="3" customWidth="1"/>
    <col min="11269" max="11269" width="19.125" style="3" customWidth="1"/>
    <col min="11270" max="11270" width="7.75" style="3" customWidth="1"/>
    <col min="11271" max="11271" width="8.875" style="3" customWidth="1"/>
    <col min="11272" max="11272" width="7.875" style="3" customWidth="1"/>
    <col min="11273" max="11274" width="8.75" style="3" customWidth="1"/>
    <col min="11275" max="11275" width="17.125" style="3" customWidth="1"/>
    <col min="11276" max="11289" width="0" style="3" hidden="1" customWidth="1"/>
    <col min="11290" max="11520" width="9" style="3"/>
    <col min="11521" max="11521" width="0" style="3" hidden="1" customWidth="1"/>
    <col min="11522" max="11522" width="5.75" style="3" customWidth="1"/>
    <col min="11523" max="11523" width="21.625" style="3" customWidth="1"/>
    <col min="11524" max="11524" width="17.5" style="3" customWidth="1"/>
    <col min="11525" max="11525" width="19.125" style="3" customWidth="1"/>
    <col min="11526" max="11526" width="7.75" style="3" customWidth="1"/>
    <col min="11527" max="11527" width="8.875" style="3" customWidth="1"/>
    <col min="11528" max="11528" width="7.875" style="3" customWidth="1"/>
    <col min="11529" max="11530" width="8.75" style="3" customWidth="1"/>
    <col min="11531" max="11531" width="17.125" style="3" customWidth="1"/>
    <col min="11532" max="11545" width="0" style="3" hidden="1" customWidth="1"/>
    <col min="11546" max="11776" width="9" style="3"/>
    <col min="11777" max="11777" width="0" style="3" hidden="1" customWidth="1"/>
    <col min="11778" max="11778" width="5.75" style="3" customWidth="1"/>
    <col min="11779" max="11779" width="21.625" style="3" customWidth="1"/>
    <col min="11780" max="11780" width="17.5" style="3" customWidth="1"/>
    <col min="11781" max="11781" width="19.125" style="3" customWidth="1"/>
    <col min="11782" max="11782" width="7.75" style="3" customWidth="1"/>
    <col min="11783" max="11783" width="8.875" style="3" customWidth="1"/>
    <col min="11784" max="11784" width="7.875" style="3" customWidth="1"/>
    <col min="11785" max="11786" width="8.75" style="3" customWidth="1"/>
    <col min="11787" max="11787" width="17.125" style="3" customWidth="1"/>
    <col min="11788" max="11801" width="0" style="3" hidden="1" customWidth="1"/>
    <col min="11802" max="12032" width="9" style="3"/>
    <col min="12033" max="12033" width="0" style="3" hidden="1" customWidth="1"/>
    <col min="12034" max="12034" width="5.75" style="3" customWidth="1"/>
    <col min="12035" max="12035" width="21.625" style="3" customWidth="1"/>
    <col min="12036" max="12036" width="17.5" style="3" customWidth="1"/>
    <col min="12037" max="12037" width="19.125" style="3" customWidth="1"/>
    <col min="12038" max="12038" width="7.75" style="3" customWidth="1"/>
    <col min="12039" max="12039" width="8.875" style="3" customWidth="1"/>
    <col min="12040" max="12040" width="7.875" style="3" customWidth="1"/>
    <col min="12041" max="12042" width="8.75" style="3" customWidth="1"/>
    <col min="12043" max="12043" width="17.125" style="3" customWidth="1"/>
    <col min="12044" max="12057" width="0" style="3" hidden="1" customWidth="1"/>
    <col min="12058" max="12288" width="9" style="3"/>
    <col min="12289" max="12289" width="0" style="3" hidden="1" customWidth="1"/>
    <col min="12290" max="12290" width="5.75" style="3" customWidth="1"/>
    <col min="12291" max="12291" width="21.625" style="3" customWidth="1"/>
    <col min="12292" max="12292" width="17.5" style="3" customWidth="1"/>
    <col min="12293" max="12293" width="19.125" style="3" customWidth="1"/>
    <col min="12294" max="12294" width="7.75" style="3" customWidth="1"/>
    <col min="12295" max="12295" width="8.875" style="3" customWidth="1"/>
    <col min="12296" max="12296" width="7.875" style="3" customWidth="1"/>
    <col min="12297" max="12298" width="8.75" style="3" customWidth="1"/>
    <col min="12299" max="12299" width="17.125" style="3" customWidth="1"/>
    <col min="12300" max="12313" width="0" style="3" hidden="1" customWidth="1"/>
    <col min="12314" max="12544" width="9" style="3"/>
    <col min="12545" max="12545" width="0" style="3" hidden="1" customWidth="1"/>
    <col min="12546" max="12546" width="5.75" style="3" customWidth="1"/>
    <col min="12547" max="12547" width="21.625" style="3" customWidth="1"/>
    <col min="12548" max="12548" width="17.5" style="3" customWidth="1"/>
    <col min="12549" max="12549" width="19.125" style="3" customWidth="1"/>
    <col min="12550" max="12550" width="7.75" style="3" customWidth="1"/>
    <col min="12551" max="12551" width="8.875" style="3" customWidth="1"/>
    <col min="12552" max="12552" width="7.875" style="3" customWidth="1"/>
    <col min="12553" max="12554" width="8.75" style="3" customWidth="1"/>
    <col min="12555" max="12555" width="17.125" style="3" customWidth="1"/>
    <col min="12556" max="12569" width="0" style="3" hidden="1" customWidth="1"/>
    <col min="12570" max="12800" width="9" style="3"/>
    <col min="12801" max="12801" width="0" style="3" hidden="1" customWidth="1"/>
    <col min="12802" max="12802" width="5.75" style="3" customWidth="1"/>
    <col min="12803" max="12803" width="21.625" style="3" customWidth="1"/>
    <col min="12804" max="12804" width="17.5" style="3" customWidth="1"/>
    <col min="12805" max="12805" width="19.125" style="3" customWidth="1"/>
    <col min="12806" max="12806" width="7.75" style="3" customWidth="1"/>
    <col min="12807" max="12807" width="8.875" style="3" customWidth="1"/>
    <col min="12808" max="12808" width="7.875" style="3" customWidth="1"/>
    <col min="12809" max="12810" width="8.75" style="3" customWidth="1"/>
    <col min="12811" max="12811" width="17.125" style="3" customWidth="1"/>
    <col min="12812" max="12825" width="0" style="3" hidden="1" customWidth="1"/>
    <col min="12826" max="13056" width="9" style="3"/>
    <col min="13057" max="13057" width="0" style="3" hidden="1" customWidth="1"/>
    <col min="13058" max="13058" width="5.75" style="3" customWidth="1"/>
    <col min="13059" max="13059" width="21.625" style="3" customWidth="1"/>
    <col min="13060" max="13060" width="17.5" style="3" customWidth="1"/>
    <col min="13061" max="13061" width="19.125" style="3" customWidth="1"/>
    <col min="13062" max="13062" width="7.75" style="3" customWidth="1"/>
    <col min="13063" max="13063" width="8.875" style="3" customWidth="1"/>
    <col min="13064" max="13064" width="7.875" style="3" customWidth="1"/>
    <col min="13065" max="13066" width="8.75" style="3" customWidth="1"/>
    <col min="13067" max="13067" width="17.125" style="3" customWidth="1"/>
    <col min="13068" max="13081" width="0" style="3" hidden="1" customWidth="1"/>
    <col min="13082" max="13312" width="9" style="3"/>
    <col min="13313" max="13313" width="0" style="3" hidden="1" customWidth="1"/>
    <col min="13314" max="13314" width="5.75" style="3" customWidth="1"/>
    <col min="13315" max="13315" width="21.625" style="3" customWidth="1"/>
    <col min="13316" max="13316" width="17.5" style="3" customWidth="1"/>
    <col min="13317" max="13317" width="19.125" style="3" customWidth="1"/>
    <col min="13318" max="13318" width="7.75" style="3" customWidth="1"/>
    <col min="13319" max="13319" width="8.875" style="3" customWidth="1"/>
    <col min="13320" max="13320" width="7.875" style="3" customWidth="1"/>
    <col min="13321" max="13322" width="8.75" style="3" customWidth="1"/>
    <col min="13323" max="13323" width="17.125" style="3" customWidth="1"/>
    <col min="13324" max="13337" width="0" style="3" hidden="1" customWidth="1"/>
    <col min="13338" max="13568" width="9" style="3"/>
    <col min="13569" max="13569" width="0" style="3" hidden="1" customWidth="1"/>
    <col min="13570" max="13570" width="5.75" style="3" customWidth="1"/>
    <col min="13571" max="13571" width="21.625" style="3" customWidth="1"/>
    <col min="13572" max="13572" width="17.5" style="3" customWidth="1"/>
    <col min="13573" max="13573" width="19.125" style="3" customWidth="1"/>
    <col min="13574" max="13574" width="7.75" style="3" customWidth="1"/>
    <col min="13575" max="13575" width="8.875" style="3" customWidth="1"/>
    <col min="13576" max="13576" width="7.875" style="3" customWidth="1"/>
    <col min="13577" max="13578" width="8.75" style="3" customWidth="1"/>
    <col min="13579" max="13579" width="17.125" style="3" customWidth="1"/>
    <col min="13580" max="13593" width="0" style="3" hidden="1" customWidth="1"/>
    <col min="13594" max="13824" width="9" style="3"/>
    <col min="13825" max="13825" width="0" style="3" hidden="1" customWidth="1"/>
    <col min="13826" max="13826" width="5.75" style="3" customWidth="1"/>
    <col min="13827" max="13827" width="21.625" style="3" customWidth="1"/>
    <col min="13828" max="13828" width="17.5" style="3" customWidth="1"/>
    <col min="13829" max="13829" width="19.125" style="3" customWidth="1"/>
    <col min="13830" max="13830" width="7.75" style="3" customWidth="1"/>
    <col min="13831" max="13831" width="8.875" style="3" customWidth="1"/>
    <col min="13832" max="13832" width="7.875" style="3" customWidth="1"/>
    <col min="13833" max="13834" width="8.75" style="3" customWidth="1"/>
    <col min="13835" max="13835" width="17.125" style="3" customWidth="1"/>
    <col min="13836" max="13849" width="0" style="3" hidden="1" customWidth="1"/>
    <col min="13850" max="14080" width="9" style="3"/>
    <col min="14081" max="14081" width="0" style="3" hidden="1" customWidth="1"/>
    <col min="14082" max="14082" width="5.75" style="3" customWidth="1"/>
    <col min="14083" max="14083" width="21.625" style="3" customWidth="1"/>
    <col min="14084" max="14084" width="17.5" style="3" customWidth="1"/>
    <col min="14085" max="14085" width="19.125" style="3" customWidth="1"/>
    <col min="14086" max="14086" width="7.75" style="3" customWidth="1"/>
    <col min="14087" max="14087" width="8.875" style="3" customWidth="1"/>
    <col min="14088" max="14088" width="7.875" style="3" customWidth="1"/>
    <col min="14089" max="14090" width="8.75" style="3" customWidth="1"/>
    <col min="14091" max="14091" width="17.125" style="3" customWidth="1"/>
    <col min="14092" max="14105" width="0" style="3" hidden="1" customWidth="1"/>
    <col min="14106" max="14336" width="9" style="3"/>
    <col min="14337" max="14337" width="0" style="3" hidden="1" customWidth="1"/>
    <col min="14338" max="14338" width="5.75" style="3" customWidth="1"/>
    <col min="14339" max="14339" width="21.625" style="3" customWidth="1"/>
    <col min="14340" max="14340" width="17.5" style="3" customWidth="1"/>
    <col min="14341" max="14341" width="19.125" style="3" customWidth="1"/>
    <col min="14342" max="14342" width="7.75" style="3" customWidth="1"/>
    <col min="14343" max="14343" width="8.875" style="3" customWidth="1"/>
    <col min="14344" max="14344" width="7.875" style="3" customWidth="1"/>
    <col min="14345" max="14346" width="8.75" style="3" customWidth="1"/>
    <col min="14347" max="14347" width="17.125" style="3" customWidth="1"/>
    <col min="14348" max="14361" width="0" style="3" hidden="1" customWidth="1"/>
    <col min="14362" max="14592" width="9" style="3"/>
    <col min="14593" max="14593" width="0" style="3" hidden="1" customWidth="1"/>
    <col min="14594" max="14594" width="5.75" style="3" customWidth="1"/>
    <col min="14595" max="14595" width="21.625" style="3" customWidth="1"/>
    <col min="14596" max="14596" width="17.5" style="3" customWidth="1"/>
    <col min="14597" max="14597" width="19.125" style="3" customWidth="1"/>
    <col min="14598" max="14598" width="7.75" style="3" customWidth="1"/>
    <col min="14599" max="14599" width="8.875" style="3" customWidth="1"/>
    <col min="14600" max="14600" width="7.875" style="3" customWidth="1"/>
    <col min="14601" max="14602" width="8.75" style="3" customWidth="1"/>
    <col min="14603" max="14603" width="17.125" style="3" customWidth="1"/>
    <col min="14604" max="14617" width="0" style="3" hidden="1" customWidth="1"/>
    <col min="14618" max="14848" width="9" style="3"/>
    <col min="14849" max="14849" width="0" style="3" hidden="1" customWidth="1"/>
    <col min="14850" max="14850" width="5.75" style="3" customWidth="1"/>
    <col min="14851" max="14851" width="21.625" style="3" customWidth="1"/>
    <col min="14852" max="14852" width="17.5" style="3" customWidth="1"/>
    <col min="14853" max="14853" width="19.125" style="3" customWidth="1"/>
    <col min="14854" max="14854" width="7.75" style="3" customWidth="1"/>
    <col min="14855" max="14855" width="8.875" style="3" customWidth="1"/>
    <col min="14856" max="14856" width="7.875" style="3" customWidth="1"/>
    <col min="14857" max="14858" width="8.75" style="3" customWidth="1"/>
    <col min="14859" max="14859" width="17.125" style="3" customWidth="1"/>
    <col min="14860" max="14873" width="0" style="3" hidden="1" customWidth="1"/>
    <col min="14874" max="15104" width="9" style="3"/>
    <col min="15105" max="15105" width="0" style="3" hidden="1" customWidth="1"/>
    <col min="15106" max="15106" width="5.75" style="3" customWidth="1"/>
    <col min="15107" max="15107" width="21.625" style="3" customWidth="1"/>
    <col min="15108" max="15108" width="17.5" style="3" customWidth="1"/>
    <col min="15109" max="15109" width="19.125" style="3" customWidth="1"/>
    <col min="15110" max="15110" width="7.75" style="3" customWidth="1"/>
    <col min="15111" max="15111" width="8.875" style="3" customWidth="1"/>
    <col min="15112" max="15112" width="7.875" style="3" customWidth="1"/>
    <col min="15113" max="15114" width="8.75" style="3" customWidth="1"/>
    <col min="15115" max="15115" width="17.125" style="3" customWidth="1"/>
    <col min="15116" max="15129" width="0" style="3" hidden="1" customWidth="1"/>
    <col min="15130" max="15360" width="9" style="3"/>
    <col min="15361" max="15361" width="0" style="3" hidden="1" customWidth="1"/>
    <col min="15362" max="15362" width="5.75" style="3" customWidth="1"/>
    <col min="15363" max="15363" width="21.625" style="3" customWidth="1"/>
    <col min="15364" max="15364" width="17.5" style="3" customWidth="1"/>
    <col min="15365" max="15365" width="19.125" style="3" customWidth="1"/>
    <col min="15366" max="15366" width="7.75" style="3" customWidth="1"/>
    <col min="15367" max="15367" width="8.875" style="3" customWidth="1"/>
    <col min="15368" max="15368" width="7.875" style="3" customWidth="1"/>
    <col min="15369" max="15370" width="8.75" style="3" customWidth="1"/>
    <col min="15371" max="15371" width="17.125" style="3" customWidth="1"/>
    <col min="15372" max="15385" width="0" style="3" hidden="1" customWidth="1"/>
    <col min="15386" max="15616" width="9" style="3"/>
    <col min="15617" max="15617" width="0" style="3" hidden="1" customWidth="1"/>
    <col min="15618" max="15618" width="5.75" style="3" customWidth="1"/>
    <col min="15619" max="15619" width="21.625" style="3" customWidth="1"/>
    <col min="15620" max="15620" width="17.5" style="3" customWidth="1"/>
    <col min="15621" max="15621" width="19.125" style="3" customWidth="1"/>
    <col min="15622" max="15622" width="7.75" style="3" customWidth="1"/>
    <col min="15623" max="15623" width="8.875" style="3" customWidth="1"/>
    <col min="15624" max="15624" width="7.875" style="3" customWidth="1"/>
    <col min="15625" max="15626" width="8.75" style="3" customWidth="1"/>
    <col min="15627" max="15627" width="17.125" style="3" customWidth="1"/>
    <col min="15628" max="15641" width="0" style="3" hidden="1" customWidth="1"/>
    <col min="15642" max="15872" width="9" style="3"/>
    <col min="15873" max="15873" width="0" style="3" hidden="1" customWidth="1"/>
    <col min="15874" max="15874" width="5.75" style="3" customWidth="1"/>
    <col min="15875" max="15875" width="21.625" style="3" customWidth="1"/>
    <col min="15876" max="15876" width="17.5" style="3" customWidth="1"/>
    <col min="15877" max="15877" width="19.125" style="3" customWidth="1"/>
    <col min="15878" max="15878" width="7.75" style="3" customWidth="1"/>
    <col min="15879" max="15879" width="8.875" style="3" customWidth="1"/>
    <col min="15880" max="15880" width="7.875" style="3" customWidth="1"/>
    <col min="15881" max="15882" width="8.75" style="3" customWidth="1"/>
    <col min="15883" max="15883" width="17.125" style="3" customWidth="1"/>
    <col min="15884" max="15897" width="0" style="3" hidden="1" customWidth="1"/>
    <col min="15898" max="16128" width="9" style="3"/>
    <col min="16129" max="16129" width="0" style="3" hidden="1" customWidth="1"/>
    <col min="16130" max="16130" width="5.75" style="3" customWidth="1"/>
    <col min="16131" max="16131" width="21.625" style="3" customWidth="1"/>
    <col min="16132" max="16132" width="17.5" style="3" customWidth="1"/>
    <col min="16133" max="16133" width="19.125" style="3" customWidth="1"/>
    <col min="16134" max="16134" width="7.75" style="3" customWidth="1"/>
    <col min="16135" max="16135" width="8.875" style="3" customWidth="1"/>
    <col min="16136" max="16136" width="7.875" style="3" customWidth="1"/>
    <col min="16137" max="16138" width="8.75" style="3" customWidth="1"/>
    <col min="16139" max="16139" width="17.125" style="3" customWidth="1"/>
    <col min="16140" max="16153" width="0" style="3" hidden="1" customWidth="1"/>
    <col min="16154" max="16384" width="9" style="3"/>
  </cols>
  <sheetData>
    <row r="1" spans="1:37" ht="18.75" x14ac:dyDescent="0.25">
      <c r="B1" s="186" t="s">
        <v>0</v>
      </c>
      <c r="C1" s="186"/>
      <c r="D1" s="186"/>
      <c r="E1" s="186"/>
      <c r="F1" s="187" t="s">
        <v>1</v>
      </c>
      <c r="G1" s="187"/>
      <c r="H1" s="187"/>
      <c r="I1" s="187"/>
      <c r="J1" s="187"/>
      <c r="K1" s="18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8.75" customHeight="1" x14ac:dyDescent="0.25">
      <c r="B2" s="188" t="s">
        <v>2</v>
      </c>
      <c r="C2" s="188"/>
      <c r="D2" s="188"/>
      <c r="E2" s="188"/>
      <c r="F2" s="187" t="s">
        <v>3</v>
      </c>
      <c r="G2" s="187"/>
      <c r="H2" s="187"/>
      <c r="I2" s="187"/>
      <c r="J2" s="187"/>
      <c r="K2" s="18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ht="18.75" x14ac:dyDescent="0.25">
      <c r="B3" s="188" t="s">
        <v>4</v>
      </c>
      <c r="C3" s="188"/>
      <c r="D3" s="188"/>
      <c r="E3" s="188"/>
      <c r="F3" s="5"/>
      <c r="G3" s="5"/>
      <c r="H3" s="5"/>
      <c r="I3" s="5"/>
      <c r="J3" s="5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7"/>
      <c r="AE3" s="7"/>
      <c r="AF3" s="7"/>
      <c r="AG3" s="7"/>
      <c r="AH3" s="7"/>
      <c r="AI3" s="7"/>
      <c r="AJ3" s="7"/>
      <c r="AK3" s="7"/>
    </row>
    <row r="5" spans="1:37" s="12" customFormat="1" ht="24.75" customHeight="1" x14ac:dyDescent="0.25">
      <c r="A5" s="11"/>
      <c r="B5" s="187" t="s">
        <v>5</v>
      </c>
      <c r="C5" s="187"/>
      <c r="D5" s="187"/>
      <c r="E5" s="187"/>
      <c r="F5" s="187"/>
      <c r="G5" s="187"/>
      <c r="H5" s="187"/>
      <c r="I5" s="187"/>
      <c r="J5" s="187"/>
      <c r="K5" s="18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7" s="12" customFormat="1" ht="22.5" customHeight="1" x14ac:dyDescent="0.25">
      <c r="A6" s="11"/>
      <c r="B6" s="188" t="s">
        <v>6</v>
      </c>
      <c r="C6" s="188"/>
      <c r="D6" s="188"/>
      <c r="E6" s="188"/>
      <c r="F6" s="188"/>
      <c r="G6" s="188"/>
      <c r="H6" s="188"/>
      <c r="I6" s="188"/>
      <c r="J6" s="188"/>
      <c r="K6" s="188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7" s="12" customFormat="1" ht="9.9499999999999993" customHeight="1" x14ac:dyDescent="0.25">
      <c r="A7" s="11"/>
      <c r="B7" s="14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7" ht="37.5" customHeight="1" x14ac:dyDescent="0.25">
      <c r="B8" s="189" t="s">
        <v>7</v>
      </c>
      <c r="C8" s="191" t="s">
        <v>8</v>
      </c>
      <c r="D8" s="193" t="s">
        <v>9</v>
      </c>
      <c r="E8" s="193" t="s">
        <v>10</v>
      </c>
      <c r="F8" s="195" t="s">
        <v>11</v>
      </c>
      <c r="G8" s="191" t="s">
        <v>12</v>
      </c>
      <c r="H8" s="193" t="s">
        <v>13</v>
      </c>
      <c r="I8" s="196" t="s">
        <v>14</v>
      </c>
      <c r="J8" s="197"/>
      <c r="K8" s="198" t="s">
        <v>15</v>
      </c>
      <c r="L8" s="15"/>
      <c r="M8" s="16"/>
      <c r="N8" s="16"/>
      <c r="O8" s="16"/>
      <c r="P8" s="16"/>
      <c r="Q8" s="15"/>
      <c r="R8" s="16"/>
      <c r="S8" s="16"/>
    </row>
    <row r="9" spans="1:37" x14ac:dyDescent="0.25">
      <c r="B9" s="190"/>
      <c r="C9" s="192"/>
      <c r="D9" s="194"/>
      <c r="E9" s="194"/>
      <c r="F9" s="195"/>
      <c r="G9" s="192"/>
      <c r="H9" s="194"/>
      <c r="I9" s="17" t="s">
        <v>16</v>
      </c>
      <c r="J9" s="17" t="s">
        <v>17</v>
      </c>
      <c r="K9" s="199"/>
      <c r="L9" s="15"/>
      <c r="M9" s="16"/>
      <c r="N9" s="16"/>
      <c r="O9" s="16"/>
      <c r="P9" s="16"/>
      <c r="Q9" s="15"/>
      <c r="R9" s="16"/>
      <c r="S9" s="16"/>
    </row>
    <row r="10" spans="1:37" s="2" customFormat="1" ht="19.5" customHeight="1" x14ac:dyDescent="0.25">
      <c r="A10" s="18"/>
      <c r="B10" s="19" t="s">
        <v>18</v>
      </c>
      <c r="C10" s="20" t="s">
        <v>19</v>
      </c>
      <c r="D10" s="19" t="str">
        <f>CONCATENATE(COUNT(B10:B29)," trạm")</f>
        <v>14 trạm</v>
      </c>
      <c r="E10" s="19"/>
      <c r="F10" s="17">
        <f>SUM(F11,F17,F27,)</f>
        <v>79</v>
      </c>
      <c r="G10" s="17"/>
      <c r="H10" s="21"/>
      <c r="I10" s="21"/>
      <c r="J10" s="21"/>
      <c r="K10" s="22"/>
      <c r="L10" s="23">
        <f>+L11+L17+L27</f>
        <v>0</v>
      </c>
      <c r="M10" s="23">
        <f>+M11+M17+M27</f>
        <v>7</v>
      </c>
      <c r="N10" s="23">
        <f>+N11+N17+N27</f>
        <v>7</v>
      </c>
      <c r="O10" s="24"/>
      <c r="P10" s="24"/>
      <c r="Q10" s="23">
        <f>+Q11+Q17+Q27</f>
        <v>139250</v>
      </c>
      <c r="R10" s="24"/>
      <c r="S10" s="24"/>
      <c r="V10" s="2">
        <f>+Q10+Q30+Q86+Q227+Q299+Q311+Q323</f>
        <v>2903976</v>
      </c>
      <c r="W10"/>
      <c r="X10" s="2">
        <f>+V10+W10</f>
        <v>2903976</v>
      </c>
    </row>
    <row r="11" spans="1:37" s="2" customFormat="1" ht="19.5" customHeight="1" x14ac:dyDescent="0.25">
      <c r="A11" s="18"/>
      <c r="B11" s="22"/>
      <c r="C11" s="20" t="s">
        <v>20</v>
      </c>
      <c r="D11" s="19" t="str">
        <f>CONCATENATE(COUNT(B11:B17)," trạm")</f>
        <v>5 trạm</v>
      </c>
      <c r="E11" s="19"/>
      <c r="F11" s="17">
        <f>SUM(F12:F16)</f>
        <v>13</v>
      </c>
      <c r="G11" s="17"/>
      <c r="H11" s="21"/>
      <c r="I11" s="21"/>
      <c r="J11" s="21"/>
      <c r="K11" s="22"/>
      <c r="L11" s="25">
        <f>COUNTIF(H12:H16,"lớn")</f>
        <v>0</v>
      </c>
      <c r="M11" s="25">
        <f>COUNTIF(H12:H16,"vừa")</f>
        <v>0</v>
      </c>
      <c r="N11" s="25">
        <f>COUNTIF(H12:H16,"nhỏ")</f>
        <v>5</v>
      </c>
      <c r="O11" s="24"/>
      <c r="P11" s="24"/>
      <c r="Q11" s="23">
        <f>SUM(Q12:Q16)</f>
        <v>14140</v>
      </c>
      <c r="R11" s="24"/>
      <c r="S11" s="24"/>
    </row>
    <row r="12" spans="1:37" ht="19.5" customHeight="1" outlineLevel="1" x14ac:dyDescent="0.25">
      <c r="A12" s="1">
        <f>IF(B12&gt;0,SUM(MAX($A$10:A11),1),0)</f>
        <v>1</v>
      </c>
      <c r="B12" s="26">
        <v>1</v>
      </c>
      <c r="C12" s="27" t="s">
        <v>21</v>
      </c>
      <c r="D12" s="26" t="s">
        <v>22</v>
      </c>
      <c r="E12" s="26" t="s">
        <v>23</v>
      </c>
      <c r="F12" s="26">
        <v>2</v>
      </c>
      <c r="G12" s="28">
        <v>1120</v>
      </c>
      <c r="H12" s="29" t="str">
        <f>IF(AND(Q12&lt;3600,Q12&gt;0),"nhỏ",IF(AND(Q12&gt;=3600,Q12&lt;72000),"vừa",IF(Q12&lt;&gt;0,"lớn",0)))</f>
        <v>nhỏ</v>
      </c>
      <c r="I12" s="28">
        <v>414.1</v>
      </c>
      <c r="J12" s="29"/>
      <c r="K12" s="30"/>
      <c r="L12" s="15"/>
      <c r="M12" s="16"/>
      <c r="N12" s="16"/>
      <c r="O12" s="16"/>
      <c r="P12" s="16"/>
      <c r="Q12" s="15">
        <f>F12*G12</f>
        <v>2240</v>
      </c>
      <c r="R12" s="16"/>
      <c r="S12" s="16"/>
    </row>
    <row r="13" spans="1:37" ht="19.5" customHeight="1" outlineLevel="1" x14ac:dyDescent="0.25">
      <c r="A13" s="1">
        <f>IF(B13&gt;0,SUM(MAX($A$10:A12),1),0)</f>
        <v>2</v>
      </c>
      <c r="B13" s="26">
        <v>2</v>
      </c>
      <c r="C13" s="27" t="s">
        <v>24</v>
      </c>
      <c r="D13" s="26" t="s">
        <v>25</v>
      </c>
      <c r="E13" s="30" t="s">
        <v>26</v>
      </c>
      <c r="F13" s="26">
        <v>3</v>
      </c>
      <c r="G13" s="28">
        <v>980</v>
      </c>
      <c r="H13" s="29" t="str">
        <f t="shared" ref="H13:H22" si="0">IF(AND(Q13&lt;3600,Q13&gt;0),"nhỏ",IF(AND(Q13&gt;=3600,Q13&lt;72000),"vừa",IF(Q13&lt;&gt;0,"lớn",0)))</f>
        <v>nhỏ</v>
      </c>
      <c r="I13" s="28">
        <v>440.82</v>
      </c>
      <c r="J13" s="29"/>
      <c r="K13" s="31" t="s">
        <v>27</v>
      </c>
      <c r="L13" s="15"/>
      <c r="M13" s="16"/>
      <c r="N13" s="16"/>
      <c r="O13" s="16"/>
      <c r="P13" s="16"/>
      <c r="Q13" s="15">
        <f t="shared" ref="Q13:Q21" si="1">F13*G13</f>
        <v>2940</v>
      </c>
      <c r="R13" s="16"/>
      <c r="S13" s="16"/>
    </row>
    <row r="14" spans="1:37" ht="19.5" customHeight="1" outlineLevel="1" x14ac:dyDescent="0.25">
      <c r="A14" s="1">
        <f>IF(B14&gt;0,SUM(MAX($A$10:A13),1),0)</f>
        <v>3</v>
      </c>
      <c r="B14" s="26">
        <v>3</v>
      </c>
      <c r="C14" s="27" t="s">
        <v>28</v>
      </c>
      <c r="D14" s="26" t="s">
        <v>29</v>
      </c>
      <c r="E14" s="30" t="s">
        <v>30</v>
      </c>
      <c r="F14" s="26">
        <v>3</v>
      </c>
      <c r="G14" s="28">
        <v>1120</v>
      </c>
      <c r="H14" s="29" t="str">
        <f t="shared" si="0"/>
        <v>nhỏ</v>
      </c>
      <c r="I14" s="28">
        <v>399.19</v>
      </c>
      <c r="J14" s="29"/>
      <c r="K14" s="30"/>
      <c r="L14" s="15"/>
      <c r="M14" s="16"/>
      <c r="N14" s="16"/>
      <c r="O14" s="16"/>
      <c r="P14" s="16"/>
      <c r="Q14" s="15">
        <f t="shared" si="1"/>
        <v>3360</v>
      </c>
      <c r="R14" s="16"/>
      <c r="S14" s="16"/>
    </row>
    <row r="15" spans="1:37" ht="19.5" customHeight="1" outlineLevel="1" x14ac:dyDescent="0.25">
      <c r="B15" s="26">
        <v>4</v>
      </c>
      <c r="C15" s="27" t="s">
        <v>31</v>
      </c>
      <c r="D15" s="26" t="s">
        <v>29</v>
      </c>
      <c r="E15" s="26" t="s">
        <v>30</v>
      </c>
      <c r="F15" s="26">
        <v>2</v>
      </c>
      <c r="G15" s="28">
        <v>1120</v>
      </c>
      <c r="H15" s="29" t="str">
        <f t="shared" si="0"/>
        <v>nhỏ</v>
      </c>
      <c r="I15" s="28">
        <v>599.80999999999995</v>
      </c>
      <c r="J15" s="29"/>
      <c r="K15" s="30"/>
      <c r="L15" s="15"/>
      <c r="M15" s="16"/>
      <c r="N15" s="16"/>
      <c r="O15" s="16"/>
      <c r="P15" s="16"/>
      <c r="Q15" s="15">
        <f t="shared" si="1"/>
        <v>2240</v>
      </c>
      <c r="R15" s="16"/>
      <c r="S15" s="16"/>
    </row>
    <row r="16" spans="1:37" ht="19.5" customHeight="1" outlineLevel="1" x14ac:dyDescent="0.25">
      <c r="B16" s="26">
        <v>5</v>
      </c>
      <c r="C16" s="27" t="s">
        <v>32</v>
      </c>
      <c r="D16" s="26" t="s">
        <v>33</v>
      </c>
      <c r="E16" s="26" t="s">
        <v>30</v>
      </c>
      <c r="F16" s="26">
        <v>3</v>
      </c>
      <c r="G16" s="28">
        <v>1120</v>
      </c>
      <c r="H16" s="29" t="str">
        <f t="shared" si="0"/>
        <v>nhỏ</v>
      </c>
      <c r="I16" s="28">
        <v>885.72</v>
      </c>
      <c r="J16" s="29"/>
      <c r="K16" s="30"/>
      <c r="L16" s="15"/>
      <c r="M16" s="16"/>
      <c r="N16" s="16"/>
      <c r="O16" s="16"/>
      <c r="P16" s="16"/>
      <c r="Q16" s="15">
        <f t="shared" si="1"/>
        <v>3360</v>
      </c>
      <c r="R16" s="16"/>
      <c r="S16" s="16"/>
    </row>
    <row r="17" spans="1:19" s="2" customFormat="1" ht="19.5" customHeight="1" x14ac:dyDescent="0.25">
      <c r="A17" s="1">
        <f>IF(B17&gt;0,SUM(MAX($A$10:A14),1),0)</f>
        <v>0</v>
      </c>
      <c r="B17" s="26"/>
      <c r="C17" s="20" t="s">
        <v>34</v>
      </c>
      <c r="D17" s="19" t="str">
        <f>CONCATENATE(COUNT(B17:B27)," trạm")</f>
        <v>7 trạm</v>
      </c>
      <c r="E17" s="19"/>
      <c r="F17" s="17">
        <f>SUM(F18:F26)</f>
        <v>59</v>
      </c>
      <c r="G17" s="31"/>
      <c r="H17" s="21"/>
      <c r="I17" s="21"/>
      <c r="J17" s="21"/>
      <c r="K17" s="22"/>
      <c r="L17" s="25">
        <f>COUNTIF(H18:H26,"lớn")</f>
        <v>0</v>
      </c>
      <c r="M17" s="25">
        <f>COUNTIF(H18:H26,"vừa")</f>
        <v>5</v>
      </c>
      <c r="N17" s="25">
        <f>COUNTIF(H18:H26,"nhỏ")</f>
        <v>2</v>
      </c>
      <c r="O17" s="24"/>
      <c r="P17" s="24"/>
      <c r="Q17" s="23">
        <f>SUM(Q18:Q26)</f>
        <v>107610</v>
      </c>
      <c r="R17" s="24"/>
      <c r="S17" s="24"/>
    </row>
    <row r="18" spans="1:19" ht="19.5" customHeight="1" outlineLevel="1" x14ac:dyDescent="0.25">
      <c r="A18" s="1">
        <f>IF(B18&gt;0,SUM(MAX($A$10:A17),1),0)</f>
        <v>4</v>
      </c>
      <c r="B18" s="26">
        <f>SUM(MAX($B$17:B17),1)</f>
        <v>1</v>
      </c>
      <c r="C18" s="27" t="s">
        <v>35</v>
      </c>
      <c r="D18" s="26" t="s">
        <v>36</v>
      </c>
      <c r="E18" s="32" t="s">
        <v>37</v>
      </c>
      <c r="F18" s="26">
        <v>24</v>
      </c>
      <c r="G18" s="28">
        <v>1100</v>
      </c>
      <c r="H18" s="29" t="str">
        <f t="shared" si="0"/>
        <v>vừa</v>
      </c>
      <c r="I18" s="29"/>
      <c r="J18" s="28">
        <v>840</v>
      </c>
      <c r="K18" s="31" t="s">
        <v>38</v>
      </c>
      <c r="L18" s="15"/>
      <c r="M18" s="16"/>
      <c r="N18" s="16"/>
      <c r="O18" s="16"/>
      <c r="P18" s="16"/>
      <c r="Q18" s="15">
        <f t="shared" si="1"/>
        <v>26400</v>
      </c>
      <c r="R18" s="16"/>
      <c r="S18" s="16"/>
    </row>
    <row r="19" spans="1:19" ht="19.5" customHeight="1" outlineLevel="1" x14ac:dyDescent="0.25">
      <c r="A19" s="1">
        <f>IF(B19&gt;0,SUM(MAX($A$10:A18),1),0)</f>
        <v>5</v>
      </c>
      <c r="B19" s="26">
        <f>SUM(MAX($B$17:B18),1)</f>
        <v>2</v>
      </c>
      <c r="C19" s="27" t="s">
        <v>39</v>
      </c>
      <c r="D19" s="26" t="s">
        <v>40</v>
      </c>
      <c r="E19" s="30" t="s">
        <v>30</v>
      </c>
      <c r="F19" s="26">
        <v>3</v>
      </c>
      <c r="G19" s="28">
        <v>2500</v>
      </c>
      <c r="H19" s="29" t="str">
        <f t="shared" si="0"/>
        <v>vừa</v>
      </c>
      <c r="I19" s="29"/>
      <c r="J19" s="28">
        <v>350</v>
      </c>
      <c r="K19" s="30"/>
      <c r="L19" s="15"/>
      <c r="M19" s="16"/>
      <c r="N19" s="16"/>
      <c r="O19" s="16"/>
      <c r="P19" s="16"/>
      <c r="Q19" s="15">
        <f t="shared" si="1"/>
        <v>7500</v>
      </c>
      <c r="R19" s="16"/>
      <c r="S19" s="16"/>
    </row>
    <row r="20" spans="1:19" ht="19.5" customHeight="1" outlineLevel="1" x14ac:dyDescent="0.25">
      <c r="A20" s="1">
        <f>IF(B20&gt;0,SUM(MAX($A$10:A19),1),0)</f>
        <v>6</v>
      </c>
      <c r="B20" s="26">
        <f>SUM(MAX($B$17:B19),1)</f>
        <v>3</v>
      </c>
      <c r="C20" s="27" t="s">
        <v>41</v>
      </c>
      <c r="D20" s="26" t="s">
        <v>42</v>
      </c>
      <c r="E20" s="30" t="s">
        <v>26</v>
      </c>
      <c r="F20" s="26">
        <v>14</v>
      </c>
      <c r="G20" s="28">
        <v>2500</v>
      </c>
      <c r="H20" s="29" t="str">
        <f t="shared" si="0"/>
        <v>vừa</v>
      </c>
      <c r="I20" s="29"/>
      <c r="J20" s="28">
        <v>1300</v>
      </c>
      <c r="K20" s="31" t="s">
        <v>43</v>
      </c>
      <c r="L20" s="15"/>
      <c r="M20" s="16"/>
      <c r="N20" s="16"/>
      <c r="O20" s="16"/>
      <c r="P20" s="16"/>
      <c r="Q20" s="15">
        <f t="shared" si="1"/>
        <v>35000</v>
      </c>
      <c r="R20" s="16"/>
      <c r="S20" s="16"/>
    </row>
    <row r="21" spans="1:19" ht="19.5" customHeight="1" outlineLevel="1" x14ac:dyDescent="0.25">
      <c r="A21" s="1">
        <f>IF(B21&gt;0,SUM(MAX($A$10:A20),1),0)</f>
        <v>7</v>
      </c>
      <c r="B21" s="26">
        <f>SUM(MAX($B$17:B20),1)</f>
        <v>4</v>
      </c>
      <c r="C21" s="27" t="s">
        <v>44</v>
      </c>
      <c r="D21" s="26" t="s">
        <v>45</v>
      </c>
      <c r="E21" s="30" t="s">
        <v>26</v>
      </c>
      <c r="F21" s="26">
        <v>3</v>
      </c>
      <c r="G21" s="28">
        <v>980</v>
      </c>
      <c r="H21" s="29" t="str">
        <f t="shared" si="0"/>
        <v>nhỏ</v>
      </c>
      <c r="I21" s="29"/>
      <c r="J21" s="28">
        <v>250</v>
      </c>
      <c r="K21" s="31" t="s">
        <v>46</v>
      </c>
      <c r="L21" s="15"/>
      <c r="M21" s="16"/>
      <c r="N21" s="16"/>
      <c r="O21" s="16"/>
      <c r="P21" s="16"/>
      <c r="Q21" s="15">
        <f t="shared" si="1"/>
        <v>2940</v>
      </c>
      <c r="R21" s="16"/>
      <c r="S21" s="16"/>
    </row>
    <row r="22" spans="1:19" ht="19.5" customHeight="1" outlineLevel="1" x14ac:dyDescent="0.25">
      <c r="A22" s="1">
        <f>IF(B22&gt;0,SUM(MAX($A$10:A21),1),0)</f>
        <v>8</v>
      </c>
      <c r="B22" s="202">
        <f>SUM(MAX($B$17:B21),1)</f>
        <v>5</v>
      </c>
      <c r="C22" s="204" t="s">
        <v>47</v>
      </c>
      <c r="D22" s="202" t="s">
        <v>48</v>
      </c>
      <c r="E22" s="206" t="s">
        <v>26</v>
      </c>
      <c r="F22" s="26">
        <v>4</v>
      </c>
      <c r="G22" s="28">
        <v>4000</v>
      </c>
      <c r="H22" s="208" t="str">
        <f t="shared" si="0"/>
        <v>vừa</v>
      </c>
      <c r="I22" s="29"/>
      <c r="J22" s="212">
        <v>450</v>
      </c>
      <c r="K22" s="200" t="s">
        <v>49</v>
      </c>
      <c r="L22" s="15"/>
      <c r="M22" s="16"/>
      <c r="N22" s="16"/>
      <c r="O22" s="16"/>
      <c r="P22" s="16"/>
      <c r="Q22" s="15">
        <f>F22*G22+F23*G23+F24*G24</f>
        <v>19910</v>
      </c>
      <c r="R22" s="16"/>
      <c r="S22" s="16"/>
    </row>
    <row r="23" spans="1:19" ht="19.5" customHeight="1" outlineLevel="1" x14ac:dyDescent="0.25">
      <c r="B23" s="210"/>
      <c r="C23" s="205"/>
      <c r="D23" s="210"/>
      <c r="E23" s="207"/>
      <c r="F23" s="26">
        <v>1</v>
      </c>
      <c r="G23" s="28">
        <v>1950</v>
      </c>
      <c r="H23" s="211"/>
      <c r="I23" s="33"/>
      <c r="J23" s="213"/>
      <c r="K23" s="201"/>
      <c r="L23" s="15"/>
      <c r="M23" s="16"/>
      <c r="N23" s="16"/>
      <c r="O23" s="16"/>
      <c r="P23" s="16"/>
      <c r="Q23" s="15"/>
      <c r="R23" s="16"/>
      <c r="S23" s="16"/>
    </row>
    <row r="24" spans="1:19" ht="35.25" customHeight="1" outlineLevel="1" x14ac:dyDescent="0.25">
      <c r="B24" s="203"/>
      <c r="C24" s="27" t="s">
        <v>50</v>
      </c>
      <c r="D24" s="203"/>
      <c r="E24" s="30" t="s">
        <v>26</v>
      </c>
      <c r="F24" s="26">
        <v>2</v>
      </c>
      <c r="G24" s="28">
        <v>980</v>
      </c>
      <c r="H24" s="209"/>
      <c r="I24" s="28">
        <v>506.49</v>
      </c>
      <c r="J24" s="34"/>
      <c r="K24" s="31" t="s">
        <v>51</v>
      </c>
      <c r="L24" s="15"/>
      <c r="M24" s="16"/>
      <c r="N24" s="16"/>
      <c r="O24" s="16"/>
      <c r="P24" s="16"/>
      <c r="Q24" s="15"/>
      <c r="R24" s="16"/>
      <c r="S24" s="16"/>
    </row>
    <row r="25" spans="1:19" ht="19.5" customHeight="1" outlineLevel="1" x14ac:dyDescent="0.25">
      <c r="A25" s="1">
        <f>IF(B25&gt;0,SUM(MAX($A$10:A22),1),0)</f>
        <v>9</v>
      </c>
      <c r="B25" s="26">
        <f>SUM(MAX($B$17:B22),1)</f>
        <v>6</v>
      </c>
      <c r="C25" s="27" t="s">
        <v>52</v>
      </c>
      <c r="D25" s="30" t="s">
        <v>53</v>
      </c>
      <c r="E25" s="30" t="s">
        <v>54</v>
      </c>
      <c r="F25" s="26">
        <v>3</v>
      </c>
      <c r="G25" s="28">
        <v>1120</v>
      </c>
      <c r="H25" s="29" t="str">
        <f>IF(AND(Q25&lt;3600,Q25&gt;0),"nhỏ",IF(AND(Q25&gt;=3600,Q25&lt;72000),"vừa",IF(Q25&lt;&gt;0,"lớn",0)))</f>
        <v>nhỏ</v>
      </c>
      <c r="I25" s="29"/>
      <c r="J25" s="29"/>
      <c r="K25" s="30"/>
      <c r="L25" s="15"/>
      <c r="M25" s="16"/>
      <c r="N25" s="16"/>
      <c r="O25" s="16"/>
      <c r="P25" s="16"/>
      <c r="Q25" s="15">
        <f>F25*G25</f>
        <v>3360</v>
      </c>
      <c r="R25" s="16"/>
      <c r="S25" s="16"/>
    </row>
    <row r="26" spans="1:19" ht="19.5" customHeight="1" outlineLevel="1" x14ac:dyDescent="0.25">
      <c r="A26" s="1">
        <f>IF(B26&gt;0,SUM(MAX($A$10:A25),1),0)</f>
        <v>10</v>
      </c>
      <c r="B26" s="26">
        <f>SUM(MAX($B$17:B25),1)</f>
        <v>7</v>
      </c>
      <c r="C26" s="27" t="s">
        <v>55</v>
      </c>
      <c r="D26" s="26" t="s">
        <v>45</v>
      </c>
      <c r="E26" s="30" t="s">
        <v>26</v>
      </c>
      <c r="F26" s="26">
        <v>5</v>
      </c>
      <c r="G26" s="28">
        <v>2500</v>
      </c>
      <c r="H26" s="29" t="str">
        <f>IF(AND(Q26&lt;3600,Q26&gt;0),"nhỏ",IF(AND(Q26&gt;=3600,Q26&lt;72000),"vừa",IF(Q26&lt;&gt;0,"lớn",0)))</f>
        <v>vừa</v>
      </c>
      <c r="I26" s="29"/>
      <c r="J26" s="28">
        <v>426</v>
      </c>
      <c r="K26" s="31" t="s">
        <v>56</v>
      </c>
      <c r="L26" s="15"/>
      <c r="M26" s="16"/>
      <c r="N26" s="16"/>
      <c r="O26" s="16"/>
      <c r="P26" s="16"/>
      <c r="Q26" s="15">
        <f>F26*G26</f>
        <v>12500</v>
      </c>
      <c r="R26" s="16"/>
      <c r="S26" s="16"/>
    </row>
    <row r="27" spans="1:19" s="2" customFormat="1" ht="19.5" customHeight="1" x14ac:dyDescent="0.25">
      <c r="A27" s="1">
        <f>IF(B27&gt;0,SUM(MAX($A$10:A26),1),0)</f>
        <v>0</v>
      </c>
      <c r="B27" s="19"/>
      <c r="C27" s="20" t="s">
        <v>57</v>
      </c>
      <c r="D27" s="19" t="str">
        <f>CONCATENATE(COUNT(B27:B29)," trạm")</f>
        <v>2 trạm</v>
      </c>
      <c r="E27" s="19"/>
      <c r="F27" s="17">
        <f>SUM(F28:F29)</f>
        <v>7</v>
      </c>
      <c r="G27" s="35"/>
      <c r="H27" s="36"/>
      <c r="I27" s="36"/>
      <c r="J27" s="36"/>
      <c r="K27" s="22"/>
      <c r="L27" s="25">
        <f>COUNTIF(H28:H29,"lớn")</f>
        <v>0</v>
      </c>
      <c r="M27" s="25">
        <f>COUNTIF(H28:H29,"vừa")</f>
        <v>2</v>
      </c>
      <c r="N27" s="25">
        <f>COUNTIF(H28:H29,"nhỏ")</f>
        <v>0</v>
      </c>
      <c r="O27" s="24"/>
      <c r="P27" s="24"/>
      <c r="Q27" s="23">
        <f>Q28+Q29</f>
        <v>17500</v>
      </c>
      <c r="R27" s="24"/>
      <c r="S27" s="24"/>
    </row>
    <row r="28" spans="1:19" ht="19.5" customHeight="1" outlineLevel="1" x14ac:dyDescent="0.25">
      <c r="A28" s="1">
        <f>IF(B28&gt;0,SUM(MAX($A$10:A27),1),0)</f>
        <v>11</v>
      </c>
      <c r="B28" s="26">
        <f>SUM(MAX($B$27:B27),1)</f>
        <v>1</v>
      </c>
      <c r="C28" s="27" t="s">
        <v>58</v>
      </c>
      <c r="D28" s="26" t="s">
        <v>58</v>
      </c>
      <c r="E28" s="26" t="s">
        <v>59</v>
      </c>
      <c r="F28" s="26">
        <v>3</v>
      </c>
      <c r="G28" s="31">
        <v>2500</v>
      </c>
      <c r="H28" s="29" t="str">
        <f>IF(AND(Q28&lt;3600,Q28&gt;0),"nhỏ",IF(AND(Q28&gt;=3600,Q28&lt;72000),"vừa",IF(Q28&lt;&gt;0,"lớn",0)))</f>
        <v>vừa</v>
      </c>
      <c r="I28" s="29"/>
      <c r="J28" s="28">
        <v>308</v>
      </c>
      <c r="K28" s="30"/>
      <c r="L28" s="15"/>
      <c r="M28" s="16"/>
      <c r="N28" s="16"/>
      <c r="O28" s="16"/>
      <c r="P28" s="16"/>
      <c r="Q28" s="15">
        <f>F28*G28</f>
        <v>7500</v>
      </c>
      <c r="R28" s="16"/>
      <c r="S28" s="16"/>
    </row>
    <row r="29" spans="1:19" ht="19.5" customHeight="1" outlineLevel="1" x14ac:dyDescent="0.25">
      <c r="A29" s="1">
        <f>IF(B29&gt;0,SUM(MAX($A$10:A28),1),0)</f>
        <v>12</v>
      </c>
      <c r="B29" s="26">
        <f>SUM(MAX($B$27:B28),1)</f>
        <v>2</v>
      </c>
      <c r="C29" s="27" t="s">
        <v>60</v>
      </c>
      <c r="D29" s="37" t="s">
        <v>61</v>
      </c>
      <c r="E29" s="37" t="s">
        <v>26</v>
      </c>
      <c r="F29" s="26">
        <v>4</v>
      </c>
      <c r="G29" s="31">
        <v>2500</v>
      </c>
      <c r="H29" s="29" t="str">
        <f>IF(AND(Q29&lt;3600,Q29&gt;0),"nhỏ",IF(AND(Q29&gt;=3600,Q29&lt;72000),"vừa",IF(Q29&lt;&gt;0,"lớn",0)))</f>
        <v>vừa</v>
      </c>
      <c r="I29" s="28">
        <v>70</v>
      </c>
      <c r="J29" s="28">
        <v>373</v>
      </c>
      <c r="K29" s="31" t="s">
        <v>62</v>
      </c>
      <c r="L29" s="15"/>
      <c r="M29" s="16"/>
      <c r="N29" s="16"/>
      <c r="O29" s="16"/>
      <c r="P29" s="16"/>
      <c r="Q29" s="15">
        <f>F29*G29</f>
        <v>10000</v>
      </c>
      <c r="R29" s="16"/>
      <c r="S29" s="16"/>
    </row>
    <row r="30" spans="1:19" s="2" customFormat="1" ht="19.5" customHeight="1" x14ac:dyDescent="0.25">
      <c r="A30" s="1"/>
      <c r="B30" s="38" t="s">
        <v>63</v>
      </c>
      <c r="C30" s="20" t="s">
        <v>64</v>
      </c>
      <c r="D30" s="19" t="str">
        <f>CONCATENATE(COUNT(B30:B85)," trạm")</f>
        <v>30 trạm</v>
      </c>
      <c r="E30" s="19"/>
      <c r="F30" s="17">
        <f>+F31+F40+F54</f>
        <v>192</v>
      </c>
      <c r="G30" s="31"/>
      <c r="H30" s="21"/>
      <c r="I30" s="21"/>
      <c r="J30" s="21"/>
      <c r="K30" s="22"/>
      <c r="L30" s="23">
        <f>+L31+L40+L54</f>
        <v>0</v>
      </c>
      <c r="M30" s="23">
        <f>+M31+M40+M54</f>
        <v>23</v>
      </c>
      <c r="N30" s="23">
        <f>+N31+N40+N54</f>
        <v>7</v>
      </c>
      <c r="O30" s="24"/>
      <c r="P30" s="24"/>
      <c r="Q30" s="23">
        <f>+Q31+Q40+Q54</f>
        <v>454310</v>
      </c>
      <c r="R30" s="24"/>
      <c r="S30" s="24"/>
    </row>
    <row r="31" spans="1:19" s="2" customFormat="1" ht="19.5" customHeight="1" x14ac:dyDescent="0.25">
      <c r="A31" s="1">
        <f>IF(B31&gt;0,SUM(MAX($A$10:A30),1),0)</f>
        <v>0</v>
      </c>
      <c r="B31" s="38"/>
      <c r="C31" s="20" t="s">
        <v>20</v>
      </c>
      <c r="D31" s="17" t="str">
        <f>CONCATENATE(COUNT(B31:B40)," trạm")</f>
        <v>7 trạm</v>
      </c>
      <c r="E31" s="17"/>
      <c r="F31" s="17">
        <f>SUM(F32:F39)</f>
        <v>19</v>
      </c>
      <c r="G31" s="31"/>
      <c r="H31" s="21"/>
      <c r="I31" s="21"/>
      <c r="J31" s="21"/>
      <c r="K31" s="22"/>
      <c r="L31" s="25">
        <f>COUNTIF(H32:H39,"lớn")</f>
        <v>0</v>
      </c>
      <c r="M31" s="25">
        <f>COUNTIF(H32:H39,"vừa")</f>
        <v>2</v>
      </c>
      <c r="N31" s="25">
        <f>COUNTIF(H32:H39,"nhỏ")</f>
        <v>5</v>
      </c>
      <c r="O31" s="24"/>
      <c r="P31" s="24"/>
      <c r="Q31" s="23">
        <f>SUM(Q32:Q39)</f>
        <v>53540</v>
      </c>
      <c r="R31" s="24"/>
      <c r="S31" s="24"/>
    </row>
    <row r="32" spans="1:19" s="41" customFormat="1" ht="19.5" customHeight="1" outlineLevel="1" x14ac:dyDescent="0.25">
      <c r="A32" s="1">
        <f>IF(B32&gt;0,SUM(MAX($A$10:A31),1),0)</f>
        <v>13</v>
      </c>
      <c r="B32" s="26">
        <v>1</v>
      </c>
      <c r="C32" s="27" t="s">
        <v>65</v>
      </c>
      <c r="D32" s="26" t="s">
        <v>66</v>
      </c>
      <c r="E32" s="26" t="s">
        <v>37</v>
      </c>
      <c r="F32" s="26">
        <v>5</v>
      </c>
      <c r="G32" s="28">
        <v>8000</v>
      </c>
      <c r="H32" s="29" t="str">
        <f t="shared" ref="H32:H38" si="2">IF(AND(Q32&lt;3600,Q32&gt;0),"nhỏ",IF(AND(Q32&gt;=3600,Q32&lt;72000),"vừa",IF(Q32&lt;&gt;0,"lớn",0)))</f>
        <v>vừa</v>
      </c>
      <c r="I32" s="28">
        <f>7431.3+1700</f>
        <v>9131.2999999999993</v>
      </c>
      <c r="J32" s="29"/>
      <c r="K32" s="31" t="s">
        <v>67</v>
      </c>
      <c r="L32" s="39"/>
      <c r="M32" s="40"/>
      <c r="N32" s="40"/>
      <c r="O32" s="40"/>
      <c r="P32" s="40"/>
      <c r="Q32" s="39">
        <f t="shared" ref="Q32:Q37" si="3">F32*G32</f>
        <v>40000</v>
      </c>
      <c r="R32" s="40"/>
      <c r="S32" s="40"/>
    </row>
    <row r="33" spans="1:19" ht="19.5" customHeight="1" outlineLevel="1" x14ac:dyDescent="0.25">
      <c r="A33" s="1">
        <f>IF(B33&gt;0,SUM(MAX($A$10:A32),1),0)</f>
        <v>14</v>
      </c>
      <c r="B33" s="26">
        <v>2</v>
      </c>
      <c r="C33" s="27" t="s">
        <v>68</v>
      </c>
      <c r="D33" s="26" t="s">
        <v>69</v>
      </c>
      <c r="E33" s="30" t="s">
        <v>26</v>
      </c>
      <c r="F33" s="26">
        <v>2</v>
      </c>
      <c r="G33" s="28">
        <v>980</v>
      </c>
      <c r="H33" s="29" t="str">
        <f t="shared" si="2"/>
        <v>nhỏ</v>
      </c>
      <c r="I33" s="28">
        <v>75</v>
      </c>
      <c r="J33" s="29"/>
      <c r="K33" s="31" t="s">
        <v>70</v>
      </c>
      <c r="L33" s="15"/>
      <c r="M33" s="16"/>
      <c r="N33" s="16"/>
      <c r="O33" s="16"/>
      <c r="P33" s="16"/>
      <c r="Q33" s="39">
        <f t="shared" si="3"/>
        <v>1960</v>
      </c>
      <c r="R33" s="16"/>
      <c r="S33" s="16"/>
    </row>
    <row r="34" spans="1:19" s="2" customFormat="1" ht="19.5" customHeight="1" outlineLevel="1" x14ac:dyDescent="0.25">
      <c r="A34" s="1">
        <f>IF(B34&gt;0,SUM(MAX($A$10:A33),1),0)</f>
        <v>15</v>
      </c>
      <c r="B34" s="26">
        <v>3</v>
      </c>
      <c r="C34" s="27" t="s">
        <v>71</v>
      </c>
      <c r="D34" s="26" t="s">
        <v>72</v>
      </c>
      <c r="E34" s="30" t="s">
        <v>26</v>
      </c>
      <c r="F34" s="26">
        <v>3</v>
      </c>
      <c r="G34" s="28">
        <v>980</v>
      </c>
      <c r="H34" s="29" t="str">
        <f t="shared" si="2"/>
        <v>nhỏ</v>
      </c>
      <c r="I34" s="28">
        <v>18</v>
      </c>
      <c r="J34" s="29"/>
      <c r="K34" s="22"/>
      <c r="L34" s="23"/>
      <c r="M34" s="24"/>
      <c r="N34" s="24"/>
      <c r="O34" s="24"/>
      <c r="P34" s="24"/>
      <c r="Q34" s="39">
        <f t="shared" si="3"/>
        <v>2940</v>
      </c>
      <c r="R34" s="24"/>
      <c r="S34" s="24"/>
    </row>
    <row r="35" spans="1:19" ht="19.5" customHeight="1" outlineLevel="1" x14ac:dyDescent="0.25">
      <c r="A35" s="1">
        <f>IF(B35&gt;0,SUM(MAX($A$10:A34),1),0)</f>
        <v>16</v>
      </c>
      <c r="B35" s="26">
        <v>4</v>
      </c>
      <c r="C35" s="27" t="s">
        <v>73</v>
      </c>
      <c r="D35" s="26" t="s">
        <v>69</v>
      </c>
      <c r="E35" s="30" t="s">
        <v>26</v>
      </c>
      <c r="F35" s="26">
        <v>1</v>
      </c>
      <c r="G35" s="28">
        <v>980</v>
      </c>
      <c r="H35" s="29" t="str">
        <f t="shared" si="2"/>
        <v>nhỏ</v>
      </c>
      <c r="I35" s="29"/>
      <c r="J35" s="29"/>
      <c r="K35" s="31" t="s">
        <v>74</v>
      </c>
      <c r="L35" s="15"/>
      <c r="M35" s="16"/>
      <c r="N35" s="16"/>
      <c r="O35" s="16"/>
      <c r="P35" s="16"/>
      <c r="Q35" s="39">
        <f t="shared" si="3"/>
        <v>980</v>
      </c>
      <c r="R35" s="16"/>
      <c r="S35" s="16"/>
    </row>
    <row r="36" spans="1:19" ht="19.5" customHeight="1" outlineLevel="1" x14ac:dyDescent="0.25">
      <c r="A36" s="1">
        <f>IF(B36&gt;0,SUM(MAX($A$10:A35),1),0)</f>
        <v>17</v>
      </c>
      <c r="B36" s="26">
        <v>5</v>
      </c>
      <c r="C36" s="27" t="s">
        <v>75</v>
      </c>
      <c r="D36" s="26" t="s">
        <v>76</v>
      </c>
      <c r="E36" s="30" t="s">
        <v>77</v>
      </c>
      <c r="F36" s="26">
        <v>3</v>
      </c>
      <c r="G36" s="28">
        <v>980</v>
      </c>
      <c r="H36" s="29" t="str">
        <f t="shared" si="2"/>
        <v>nhỏ</v>
      </c>
      <c r="I36" s="28">
        <v>266</v>
      </c>
      <c r="J36" s="29"/>
      <c r="K36" s="30"/>
      <c r="L36" s="15"/>
      <c r="M36" s="16"/>
      <c r="N36" s="16"/>
      <c r="O36" s="16"/>
      <c r="P36" s="16"/>
      <c r="Q36" s="39">
        <f t="shared" si="3"/>
        <v>2940</v>
      </c>
      <c r="R36" s="16"/>
      <c r="S36" s="16"/>
    </row>
    <row r="37" spans="1:19" ht="19.5" customHeight="1" outlineLevel="1" x14ac:dyDescent="0.25">
      <c r="A37" s="1">
        <f>IF(B37&gt;0,SUM(MAX($A$10:A36),1),0)</f>
        <v>18</v>
      </c>
      <c r="B37" s="26">
        <v>6</v>
      </c>
      <c r="C37" s="27" t="s">
        <v>78</v>
      </c>
      <c r="D37" s="26" t="s">
        <v>79</v>
      </c>
      <c r="E37" s="26" t="s">
        <v>80</v>
      </c>
      <c r="F37" s="26">
        <v>1</v>
      </c>
      <c r="G37" s="28">
        <v>980</v>
      </c>
      <c r="H37" s="29" t="str">
        <f t="shared" si="2"/>
        <v>nhỏ</v>
      </c>
      <c r="I37" s="28">
        <v>40</v>
      </c>
      <c r="J37" s="29"/>
      <c r="K37" s="30"/>
      <c r="L37" s="15"/>
      <c r="M37" s="16"/>
      <c r="N37" s="16"/>
      <c r="O37" s="16"/>
      <c r="P37" s="16"/>
      <c r="Q37" s="39">
        <f t="shared" si="3"/>
        <v>980</v>
      </c>
      <c r="R37" s="16"/>
      <c r="S37" s="16"/>
    </row>
    <row r="38" spans="1:19" ht="19.5" customHeight="1" outlineLevel="1" x14ac:dyDescent="0.25">
      <c r="A38" s="1">
        <f>IF(B38&gt;0,SUM(MAX($A$10:A37),1),0)</f>
        <v>19</v>
      </c>
      <c r="B38" s="202">
        <v>7</v>
      </c>
      <c r="C38" s="204" t="s">
        <v>81</v>
      </c>
      <c r="D38" s="202" t="s">
        <v>82</v>
      </c>
      <c r="E38" s="206" t="s">
        <v>83</v>
      </c>
      <c r="F38" s="26">
        <v>3</v>
      </c>
      <c r="G38" s="28">
        <v>980</v>
      </c>
      <c r="H38" s="29" t="str">
        <f t="shared" si="2"/>
        <v>vừa</v>
      </c>
      <c r="I38" s="28">
        <v>331</v>
      </c>
      <c r="J38" s="29"/>
      <c r="K38" s="30"/>
      <c r="L38" s="15"/>
      <c r="M38" s="16"/>
      <c r="N38" s="16"/>
      <c r="O38" s="16"/>
      <c r="P38" s="16"/>
      <c r="Q38" s="39">
        <f>F38*G38+F39*G39</f>
        <v>3740</v>
      </c>
      <c r="R38" s="16"/>
      <c r="S38" s="16"/>
    </row>
    <row r="39" spans="1:19" s="2" customFormat="1" ht="19.5" customHeight="1" outlineLevel="1" x14ac:dyDescent="0.25">
      <c r="A39" s="1">
        <f>IF(B39&gt;0,SUM(MAX($A$10:A38),1),0)</f>
        <v>0</v>
      </c>
      <c r="B39" s="203"/>
      <c r="C39" s="205"/>
      <c r="D39" s="203"/>
      <c r="E39" s="207"/>
      <c r="F39" s="26">
        <v>1</v>
      </c>
      <c r="G39" s="28">
        <v>800</v>
      </c>
      <c r="H39" s="33"/>
      <c r="I39" s="33"/>
      <c r="J39" s="33"/>
      <c r="K39" s="22"/>
      <c r="L39" s="23"/>
      <c r="M39" s="24"/>
      <c r="N39" s="24"/>
      <c r="O39" s="24"/>
      <c r="P39" s="24"/>
      <c r="Q39" s="23"/>
      <c r="R39" s="24"/>
      <c r="S39" s="24"/>
    </row>
    <row r="40" spans="1:19" s="2" customFormat="1" ht="19.5" customHeight="1" x14ac:dyDescent="0.25">
      <c r="A40" s="1">
        <f>IF(B40&gt;0,SUM(MAX($A$10:A39),1),0)</f>
        <v>0</v>
      </c>
      <c r="B40" s="42"/>
      <c r="C40" s="20" t="s">
        <v>34</v>
      </c>
      <c r="D40" s="19" t="str">
        <f>CONCATENATE(COUNT(B40:B54)," trạm")</f>
        <v>9 trạm</v>
      </c>
      <c r="E40" s="19"/>
      <c r="F40" s="17">
        <f>SUM(F41:F53)</f>
        <v>90</v>
      </c>
      <c r="G40" s="31"/>
      <c r="H40" s="21"/>
      <c r="I40" s="21"/>
      <c r="J40" s="21"/>
      <c r="K40" s="22"/>
      <c r="L40" s="25">
        <f>COUNTIF(H41:H53,"lớn")</f>
        <v>0</v>
      </c>
      <c r="M40" s="25">
        <f>COUNTIF(H41:H53,"vừa")</f>
        <v>8</v>
      </c>
      <c r="N40" s="25">
        <f>COUNTIF(H41:H53,"nhỏ")</f>
        <v>1</v>
      </c>
      <c r="O40" s="24"/>
      <c r="P40" s="24"/>
      <c r="Q40" s="23">
        <f>SUM(Q41:Q53)</f>
        <v>289780</v>
      </c>
      <c r="R40" s="24"/>
      <c r="S40" s="24"/>
    </row>
    <row r="41" spans="1:19" ht="19.5" customHeight="1" outlineLevel="1" x14ac:dyDescent="0.25">
      <c r="A41" s="1">
        <f>IF(B41&gt;0,SUM(MAX($A$10:A40),1),0)</f>
        <v>20</v>
      </c>
      <c r="B41" s="26">
        <v>1</v>
      </c>
      <c r="C41" s="27" t="s">
        <v>84</v>
      </c>
      <c r="D41" s="26" t="s">
        <v>85</v>
      </c>
      <c r="E41" s="30" t="s">
        <v>26</v>
      </c>
      <c r="F41" s="26">
        <v>5</v>
      </c>
      <c r="G41" s="28">
        <v>3700</v>
      </c>
      <c r="H41" s="29" t="str">
        <f t="shared" ref="H41:H53" si="4">IF(AND(Q41&lt;3600,Q41&gt;0),"nhỏ",IF(AND(Q41&gt;=3600,Q41&lt;72000),"vừa",IF(Q41&lt;&gt;0,"lớn",0)))</f>
        <v>vừa</v>
      </c>
      <c r="I41" s="29"/>
      <c r="J41" s="28">
        <v>474</v>
      </c>
      <c r="K41" s="31" t="s">
        <v>86</v>
      </c>
      <c r="L41" s="15"/>
      <c r="M41" s="16"/>
      <c r="N41" s="16"/>
      <c r="O41" s="16"/>
      <c r="P41" s="16"/>
      <c r="Q41" s="15">
        <f>F41*G41</f>
        <v>18500</v>
      </c>
      <c r="R41" s="16"/>
      <c r="S41" s="16"/>
    </row>
    <row r="42" spans="1:19" ht="19.899999999999999" customHeight="1" outlineLevel="1" x14ac:dyDescent="0.25">
      <c r="A42" s="1">
        <f>IF(B42&gt;0,SUM(MAX($A$10:A41),1),0)</f>
        <v>21</v>
      </c>
      <c r="B42" s="26">
        <v>2</v>
      </c>
      <c r="C42" s="27" t="s">
        <v>87</v>
      </c>
      <c r="D42" s="26" t="s">
        <v>88</v>
      </c>
      <c r="E42" s="206" t="s">
        <v>26</v>
      </c>
      <c r="F42" s="26">
        <v>4</v>
      </c>
      <c r="G42" s="28">
        <v>7300</v>
      </c>
      <c r="H42" s="208" t="str">
        <f t="shared" si="4"/>
        <v>vừa</v>
      </c>
      <c r="I42" s="29"/>
      <c r="J42" s="43">
        <v>1010</v>
      </c>
      <c r="K42" s="31" t="s">
        <v>89</v>
      </c>
      <c r="L42" s="15"/>
      <c r="M42" s="16"/>
      <c r="N42" s="16"/>
      <c r="O42" s="16"/>
      <c r="P42" s="16"/>
      <c r="Q42" s="15">
        <f>F42*G42+F43*G43</f>
        <v>45200</v>
      </c>
      <c r="R42" s="16"/>
      <c r="S42" s="16"/>
    </row>
    <row r="43" spans="1:19" ht="19.899999999999999" customHeight="1" outlineLevel="1" x14ac:dyDescent="0.25">
      <c r="A43" s="1">
        <f>IF(B43&gt;0,SUM(MAX($A$10:A42),1),0)</f>
        <v>0</v>
      </c>
      <c r="B43" s="26"/>
      <c r="C43" s="27" t="s">
        <v>90</v>
      </c>
      <c r="D43" s="26" t="s">
        <v>88</v>
      </c>
      <c r="E43" s="207"/>
      <c r="F43" s="26">
        <v>4</v>
      </c>
      <c r="G43" s="28">
        <v>4000</v>
      </c>
      <c r="H43" s="209"/>
      <c r="I43" s="28">
        <v>460</v>
      </c>
      <c r="J43" s="28">
        <v>460</v>
      </c>
      <c r="K43" s="31" t="s">
        <v>91</v>
      </c>
      <c r="L43" s="44" t="s">
        <v>91</v>
      </c>
      <c r="M43" s="16"/>
      <c r="N43" s="16"/>
      <c r="O43" s="16"/>
      <c r="P43" s="16"/>
      <c r="Q43" s="15"/>
      <c r="R43" s="16"/>
      <c r="S43" s="16"/>
    </row>
    <row r="44" spans="1:19" ht="19.899999999999999" customHeight="1" outlineLevel="1" x14ac:dyDescent="0.25">
      <c r="A44" s="1">
        <f>IF(B44&gt;0,SUM(MAX($A$10:A43),1),0)</f>
        <v>22</v>
      </c>
      <c r="B44" s="26">
        <v>3</v>
      </c>
      <c r="C44" s="27" t="s">
        <v>92</v>
      </c>
      <c r="D44" s="26" t="s">
        <v>69</v>
      </c>
      <c r="E44" s="30" t="s">
        <v>26</v>
      </c>
      <c r="F44" s="26">
        <v>3</v>
      </c>
      <c r="G44" s="28">
        <v>2500</v>
      </c>
      <c r="H44" s="29" t="str">
        <f t="shared" si="4"/>
        <v>vừa</v>
      </c>
      <c r="I44" s="29"/>
      <c r="J44" s="28">
        <v>300</v>
      </c>
      <c r="K44" s="31" t="s">
        <v>93</v>
      </c>
      <c r="L44" s="15"/>
      <c r="M44" s="16"/>
      <c r="N44" s="16"/>
      <c r="O44" s="16"/>
      <c r="P44" s="16"/>
      <c r="Q44" s="15">
        <f>F44*G44</f>
        <v>7500</v>
      </c>
      <c r="R44" s="16"/>
      <c r="S44" s="16"/>
    </row>
    <row r="45" spans="1:19" ht="19.899999999999999" customHeight="1" outlineLevel="1" x14ac:dyDescent="0.25">
      <c r="A45" s="1">
        <f>IF(B45&gt;0,SUM(MAX($A$10:A44),1),0)</f>
        <v>23</v>
      </c>
      <c r="B45" s="202">
        <v>4</v>
      </c>
      <c r="C45" s="204" t="s">
        <v>94</v>
      </c>
      <c r="D45" s="202" t="s">
        <v>95</v>
      </c>
      <c r="E45" s="202" t="s">
        <v>37</v>
      </c>
      <c r="F45" s="26">
        <v>17</v>
      </c>
      <c r="G45" s="28">
        <v>800</v>
      </c>
      <c r="H45" s="208" t="str">
        <f t="shared" si="4"/>
        <v>vừa</v>
      </c>
      <c r="I45" s="208"/>
      <c r="J45" s="212">
        <v>789</v>
      </c>
      <c r="K45" s="212" t="s">
        <v>96</v>
      </c>
      <c r="L45" s="15"/>
      <c r="M45" s="16"/>
      <c r="N45" s="16"/>
      <c r="O45" s="16"/>
      <c r="P45" s="16"/>
      <c r="Q45" s="15">
        <f>F45*G45+F46*G46</f>
        <v>23400</v>
      </c>
      <c r="R45" s="16"/>
      <c r="S45" s="16"/>
    </row>
    <row r="46" spans="1:19" ht="19.899999999999999" customHeight="1" outlineLevel="1" x14ac:dyDescent="0.25">
      <c r="A46" s="1">
        <f>IF(B46&gt;0,SUM(MAX($A$10:A45),1),0)</f>
        <v>0</v>
      </c>
      <c r="B46" s="203"/>
      <c r="C46" s="205"/>
      <c r="D46" s="203"/>
      <c r="E46" s="203"/>
      <c r="F46" s="26">
        <v>10</v>
      </c>
      <c r="G46" s="28">
        <v>980</v>
      </c>
      <c r="H46" s="209"/>
      <c r="I46" s="209"/>
      <c r="J46" s="213"/>
      <c r="K46" s="213"/>
      <c r="L46" s="15"/>
      <c r="M46" s="16"/>
      <c r="N46" s="16"/>
      <c r="O46" s="16"/>
      <c r="P46" s="16"/>
      <c r="Q46" s="15"/>
      <c r="R46" s="16"/>
      <c r="S46" s="16"/>
    </row>
    <row r="47" spans="1:19" ht="19.899999999999999" customHeight="1" outlineLevel="1" x14ac:dyDescent="0.25">
      <c r="A47" s="1">
        <f>IF(B47&gt;0,SUM(MAX($A$10:A46),1),0)</f>
        <v>24</v>
      </c>
      <c r="B47" s="26">
        <v>5</v>
      </c>
      <c r="C47" s="27" t="s">
        <v>97</v>
      </c>
      <c r="D47" s="26" t="s">
        <v>98</v>
      </c>
      <c r="E47" s="30" t="s">
        <v>26</v>
      </c>
      <c r="F47" s="26">
        <v>12</v>
      </c>
      <c r="G47" s="28">
        <v>4000</v>
      </c>
      <c r="H47" s="29" t="str">
        <f t="shared" si="4"/>
        <v>vừa</v>
      </c>
      <c r="I47" s="29"/>
      <c r="J47" s="28">
        <v>1750</v>
      </c>
      <c r="K47" s="31" t="s">
        <v>99</v>
      </c>
      <c r="L47" s="15"/>
      <c r="M47" s="16"/>
      <c r="N47" s="16"/>
      <c r="O47" s="16"/>
      <c r="P47" s="16"/>
      <c r="Q47" s="15">
        <f>F47*G47</f>
        <v>48000</v>
      </c>
      <c r="R47" s="16"/>
      <c r="S47" s="16"/>
    </row>
    <row r="48" spans="1:19" s="2" customFormat="1" ht="19.899999999999999" customHeight="1" outlineLevel="1" x14ac:dyDescent="0.25">
      <c r="A48" s="1">
        <f>IF(B48&gt;0,SUM(MAX($A$10:A47),1),0)</f>
        <v>25</v>
      </c>
      <c r="B48" s="202">
        <v>6</v>
      </c>
      <c r="C48" s="204" t="s">
        <v>100</v>
      </c>
      <c r="D48" s="202" t="s">
        <v>101</v>
      </c>
      <c r="E48" s="202" t="s">
        <v>83</v>
      </c>
      <c r="F48" s="26">
        <v>1</v>
      </c>
      <c r="G48" s="28">
        <v>1500</v>
      </c>
      <c r="H48" s="208" t="str">
        <f t="shared" si="4"/>
        <v>nhỏ</v>
      </c>
      <c r="I48" s="208"/>
      <c r="J48" s="212">
        <v>54</v>
      </c>
      <c r="K48" s="214"/>
      <c r="L48" s="23"/>
      <c r="M48" s="24"/>
      <c r="N48" s="24"/>
      <c r="O48" s="24"/>
      <c r="P48" s="24"/>
      <c r="Q48" s="15">
        <f>F48*G48+F49*G49</f>
        <v>2500</v>
      </c>
      <c r="R48" s="24"/>
      <c r="S48" s="24"/>
    </row>
    <row r="49" spans="1:19" s="41" customFormat="1" ht="19.899999999999999" customHeight="1" outlineLevel="1" x14ac:dyDescent="0.25">
      <c r="A49" s="1">
        <f>IF(B49&gt;0,SUM(MAX($A$10:A48),1),0)</f>
        <v>0</v>
      </c>
      <c r="B49" s="203"/>
      <c r="C49" s="205"/>
      <c r="D49" s="203"/>
      <c r="E49" s="203"/>
      <c r="F49" s="26">
        <v>1</v>
      </c>
      <c r="G49" s="28">
        <v>1000</v>
      </c>
      <c r="H49" s="209"/>
      <c r="I49" s="209"/>
      <c r="J49" s="213"/>
      <c r="K49" s="215"/>
      <c r="L49" s="39"/>
      <c r="M49" s="40"/>
      <c r="N49" s="40"/>
      <c r="O49" s="40"/>
      <c r="P49" s="40"/>
      <c r="Q49" s="39"/>
      <c r="R49" s="40"/>
      <c r="S49" s="40"/>
    </row>
    <row r="50" spans="1:19" s="41" customFormat="1" ht="19.899999999999999" customHeight="1" outlineLevel="1" x14ac:dyDescent="0.25">
      <c r="A50" s="1"/>
      <c r="B50" s="26">
        <v>7</v>
      </c>
      <c r="C50" s="27" t="s">
        <v>102</v>
      </c>
      <c r="D50" s="26" t="s">
        <v>88</v>
      </c>
      <c r="E50" s="206" t="s">
        <v>26</v>
      </c>
      <c r="F50" s="26">
        <v>7</v>
      </c>
      <c r="G50" s="28">
        <v>8400</v>
      </c>
      <c r="H50" s="29" t="s">
        <v>103</v>
      </c>
      <c r="I50" s="29"/>
      <c r="J50" s="28">
        <v>2319</v>
      </c>
      <c r="K50" s="31" t="s">
        <v>104</v>
      </c>
      <c r="L50" s="39"/>
      <c r="M50" s="40"/>
      <c r="N50" s="40"/>
      <c r="O50" s="40"/>
      <c r="P50" s="40"/>
      <c r="Q50" s="15">
        <f>F50*G50+F51*G51</f>
        <v>98800</v>
      </c>
      <c r="R50" s="40"/>
      <c r="S50" s="40"/>
    </row>
    <row r="51" spans="1:19" s="41" customFormat="1" ht="19.899999999999999" customHeight="1" outlineLevel="1" x14ac:dyDescent="0.25">
      <c r="A51" s="1"/>
      <c r="B51" s="26"/>
      <c r="C51" s="27" t="s">
        <v>105</v>
      </c>
      <c r="D51" s="26" t="s">
        <v>88</v>
      </c>
      <c r="E51" s="207"/>
      <c r="F51" s="26">
        <v>10</v>
      </c>
      <c r="G51" s="28">
        <v>4000</v>
      </c>
      <c r="H51" s="45"/>
      <c r="I51" s="28">
        <v>1315</v>
      </c>
      <c r="J51" s="28">
        <v>1315</v>
      </c>
      <c r="K51" s="31" t="s">
        <v>106</v>
      </c>
      <c r="L51" s="39"/>
      <c r="M51" s="40"/>
      <c r="N51" s="40"/>
      <c r="O51" s="40"/>
      <c r="P51" s="40"/>
      <c r="Q51" s="39"/>
      <c r="R51" s="40"/>
      <c r="S51" s="40"/>
    </row>
    <row r="52" spans="1:19" s="41" customFormat="1" ht="19.899999999999999" customHeight="1" outlineLevel="1" x14ac:dyDescent="0.25">
      <c r="A52" s="1"/>
      <c r="B52" s="26">
        <v>8</v>
      </c>
      <c r="C52" s="27" t="s">
        <v>107</v>
      </c>
      <c r="D52" s="26" t="s">
        <v>108</v>
      </c>
      <c r="E52" s="30" t="s">
        <v>109</v>
      </c>
      <c r="F52" s="26">
        <v>6</v>
      </c>
      <c r="G52" s="28">
        <v>980</v>
      </c>
      <c r="H52" s="29" t="str">
        <f t="shared" si="4"/>
        <v>vừa</v>
      </c>
      <c r="I52" s="29"/>
      <c r="J52" s="28">
        <v>60</v>
      </c>
      <c r="K52" s="26"/>
      <c r="L52" s="39"/>
      <c r="M52" s="40"/>
      <c r="N52" s="40"/>
      <c r="O52" s="40"/>
      <c r="P52" s="40"/>
      <c r="Q52" s="15">
        <f>F52*G52</f>
        <v>5880</v>
      </c>
      <c r="R52" s="40"/>
      <c r="S52" s="40"/>
    </row>
    <row r="53" spans="1:19" s="41" customFormat="1" ht="19.899999999999999" customHeight="1" outlineLevel="1" x14ac:dyDescent="0.25">
      <c r="A53" s="1"/>
      <c r="B53" s="26">
        <v>9</v>
      </c>
      <c r="C53" s="27" t="s">
        <v>110</v>
      </c>
      <c r="D53" s="26" t="s">
        <v>88</v>
      </c>
      <c r="E53" s="30" t="s">
        <v>26</v>
      </c>
      <c r="F53" s="26">
        <v>10</v>
      </c>
      <c r="G53" s="28">
        <v>4000</v>
      </c>
      <c r="H53" s="29" t="str">
        <f t="shared" si="4"/>
        <v>vừa</v>
      </c>
      <c r="I53" s="29"/>
      <c r="J53" s="28">
        <v>1440</v>
      </c>
      <c r="K53" s="31" t="s">
        <v>111</v>
      </c>
      <c r="L53" s="39"/>
      <c r="M53" s="40"/>
      <c r="N53" s="40"/>
      <c r="O53" s="40"/>
      <c r="P53" s="40"/>
      <c r="Q53" s="15">
        <f>F53*G53</f>
        <v>40000</v>
      </c>
      <c r="R53" s="40"/>
      <c r="S53" s="40"/>
    </row>
    <row r="54" spans="1:19" s="2" customFormat="1" ht="19.899999999999999" customHeight="1" x14ac:dyDescent="0.25">
      <c r="A54" s="1">
        <f>IF(B54&gt;0,SUM(MAX($A$10:A53),1),0)</f>
        <v>0</v>
      </c>
      <c r="B54" s="42"/>
      <c r="C54" s="20" t="s">
        <v>112</v>
      </c>
      <c r="D54" s="19" t="str">
        <f>CONCATENATE(COUNT(B54:B85)," trạm")</f>
        <v>14 trạm</v>
      </c>
      <c r="E54" s="19"/>
      <c r="F54" s="17">
        <f>SUM(F55:F85)</f>
        <v>83</v>
      </c>
      <c r="G54" s="31"/>
      <c r="H54" s="21"/>
      <c r="I54" s="21"/>
      <c r="J54" s="21"/>
      <c r="K54" s="22"/>
      <c r="L54" s="25">
        <f>COUNTIF(H55:H85,"lớn")</f>
        <v>0</v>
      </c>
      <c r="M54" s="25">
        <f>COUNTIF(H55:H85,"vừa")</f>
        <v>13</v>
      </c>
      <c r="N54" s="25">
        <f>COUNTIF(H55:H85,"nhỏ")</f>
        <v>1</v>
      </c>
      <c r="O54" s="24"/>
      <c r="P54" s="24"/>
      <c r="Q54" s="23">
        <f>SUM(Q55:Q85)</f>
        <v>110990</v>
      </c>
      <c r="R54" s="24"/>
      <c r="S54" s="24"/>
    </row>
    <row r="55" spans="1:19" s="41" customFormat="1" ht="19.899999999999999" customHeight="1" outlineLevel="1" x14ac:dyDescent="0.25">
      <c r="A55" s="1">
        <f>IF(B55&gt;0,SUM(MAX($A$10:A54),1),0)</f>
        <v>26</v>
      </c>
      <c r="B55" s="202">
        <v>1</v>
      </c>
      <c r="C55" s="204" t="s">
        <v>113</v>
      </c>
      <c r="D55" s="202" t="s">
        <v>114</v>
      </c>
      <c r="E55" s="202" t="s">
        <v>30</v>
      </c>
      <c r="F55" s="26">
        <v>2</v>
      </c>
      <c r="G55" s="28">
        <v>1700</v>
      </c>
      <c r="H55" s="208" t="str">
        <f>IF(AND(Q55&lt;3600,Q55&gt;0),"nhỏ",IF(AND(Q55&gt;=3600,Q55&lt;72000),"vừa",IF(Q55&lt;&gt;0,"lớn",0)))</f>
        <v>vừa</v>
      </c>
      <c r="I55" s="212">
        <v>157</v>
      </c>
      <c r="J55" s="212">
        <v>157</v>
      </c>
      <c r="K55" s="26"/>
      <c r="L55" s="39"/>
      <c r="M55" s="40"/>
      <c r="N55" s="40"/>
      <c r="O55" s="40"/>
      <c r="P55" s="40"/>
      <c r="Q55" s="15">
        <f>F55*G55+F56*G56</f>
        <v>5360</v>
      </c>
      <c r="R55" s="40"/>
      <c r="S55" s="40"/>
    </row>
    <row r="56" spans="1:19" s="41" customFormat="1" ht="19.899999999999999" customHeight="1" outlineLevel="1" x14ac:dyDescent="0.25">
      <c r="A56" s="1">
        <f>IF(B56&gt;0,SUM(MAX($A$10:A55),1),0)</f>
        <v>0</v>
      </c>
      <c r="B56" s="203"/>
      <c r="C56" s="205"/>
      <c r="D56" s="203"/>
      <c r="E56" s="203"/>
      <c r="F56" s="26">
        <v>2</v>
      </c>
      <c r="G56" s="28">
        <v>980</v>
      </c>
      <c r="H56" s="209"/>
      <c r="I56" s="213"/>
      <c r="J56" s="213"/>
      <c r="K56" s="26"/>
      <c r="L56" s="39"/>
      <c r="M56" s="40"/>
      <c r="N56" s="40"/>
      <c r="O56" s="40"/>
      <c r="P56" s="40"/>
      <c r="Q56" s="39"/>
      <c r="R56" s="40"/>
      <c r="S56" s="40"/>
    </row>
    <row r="57" spans="1:19" s="41" customFormat="1" ht="19.899999999999999" customHeight="1" outlineLevel="1" x14ac:dyDescent="0.25">
      <c r="A57" s="1">
        <f>IF(B57&gt;0,SUM(MAX($A$10:A56),1),0)</f>
        <v>27</v>
      </c>
      <c r="B57" s="202">
        <v>2</v>
      </c>
      <c r="C57" s="204" t="s">
        <v>115</v>
      </c>
      <c r="D57" s="202" t="s">
        <v>116</v>
      </c>
      <c r="E57" s="202" t="s">
        <v>30</v>
      </c>
      <c r="F57" s="26">
        <v>1</v>
      </c>
      <c r="G57" s="28">
        <v>1500</v>
      </c>
      <c r="H57" s="208" t="str">
        <f>IF(AND(Q57&lt;3600,Q57&gt;0),"nhỏ",IF(AND(Q57&gt;=3600,Q57&lt;72000),"vừa",IF(Q57&lt;&gt;0,"lớn",0)))</f>
        <v>vừa</v>
      </c>
      <c r="I57" s="212">
        <v>281</v>
      </c>
      <c r="J57" s="212">
        <v>281</v>
      </c>
      <c r="K57" s="26"/>
      <c r="L57" s="39"/>
      <c r="M57" s="40"/>
      <c r="N57" s="40"/>
      <c r="O57" s="40"/>
      <c r="P57" s="40"/>
      <c r="Q57" s="15">
        <f>F57*G57+F58*G58</f>
        <v>8360</v>
      </c>
      <c r="R57" s="40"/>
      <c r="S57" s="40"/>
    </row>
    <row r="58" spans="1:19" s="41" customFormat="1" ht="19.899999999999999" customHeight="1" outlineLevel="1" x14ac:dyDescent="0.25">
      <c r="A58" s="1">
        <f>IF(B58&gt;0,SUM(MAX($A$10:A57),1),0)</f>
        <v>0</v>
      </c>
      <c r="B58" s="203"/>
      <c r="C58" s="205"/>
      <c r="D58" s="203"/>
      <c r="E58" s="203"/>
      <c r="F58" s="26">
        <v>7</v>
      </c>
      <c r="G58" s="28">
        <v>980</v>
      </c>
      <c r="H58" s="209"/>
      <c r="I58" s="213"/>
      <c r="J58" s="213"/>
      <c r="K58" s="26"/>
      <c r="L58" s="39"/>
      <c r="M58" s="40"/>
      <c r="N58" s="40"/>
      <c r="O58" s="40"/>
      <c r="P58" s="40"/>
      <c r="Q58" s="39"/>
      <c r="R58" s="40"/>
      <c r="S58" s="40"/>
    </row>
    <row r="59" spans="1:19" ht="19.899999999999999" customHeight="1" outlineLevel="1" x14ac:dyDescent="0.25">
      <c r="A59" s="1">
        <f>IF(B59&gt;0,SUM(MAX($A$10:A58),1),0)</f>
        <v>28</v>
      </c>
      <c r="B59" s="202">
        <v>3</v>
      </c>
      <c r="C59" s="204" t="s">
        <v>117</v>
      </c>
      <c r="D59" s="202" t="s">
        <v>118</v>
      </c>
      <c r="E59" s="206" t="s">
        <v>26</v>
      </c>
      <c r="F59" s="26">
        <v>3</v>
      </c>
      <c r="G59" s="28">
        <v>980</v>
      </c>
      <c r="H59" s="208" t="str">
        <f>IF(AND(Q59&lt;3600,Q59&gt;0),"nhỏ",IF(AND(Q59&gt;=3600,Q59&lt;72000),"vừa",IF(Q59&lt;&gt;0,"lớn",0)))</f>
        <v>vừa</v>
      </c>
      <c r="I59" s="212">
        <v>171</v>
      </c>
      <c r="J59" s="212">
        <v>171</v>
      </c>
      <c r="K59" s="200" t="s">
        <v>119</v>
      </c>
      <c r="L59" s="15"/>
      <c r="M59" s="16"/>
      <c r="N59" s="16"/>
      <c r="O59" s="16"/>
      <c r="P59" s="16"/>
      <c r="Q59" s="15">
        <f>F59*G59+F60*G60</f>
        <v>4640</v>
      </c>
      <c r="R59" s="16"/>
      <c r="S59" s="16"/>
    </row>
    <row r="60" spans="1:19" ht="19.899999999999999" customHeight="1" outlineLevel="1" x14ac:dyDescent="0.25">
      <c r="A60" s="1">
        <f>IF(B60&gt;0,SUM(MAX($A$10:A59),1),0)</f>
        <v>0</v>
      </c>
      <c r="B60" s="210"/>
      <c r="C60" s="205"/>
      <c r="D60" s="210"/>
      <c r="E60" s="217"/>
      <c r="F60" s="26">
        <v>1</v>
      </c>
      <c r="G60" s="28">
        <v>1700</v>
      </c>
      <c r="H60" s="211"/>
      <c r="I60" s="213"/>
      <c r="J60" s="213"/>
      <c r="K60" s="216"/>
      <c r="L60" s="15"/>
      <c r="M60" s="16"/>
      <c r="N60" s="16"/>
      <c r="O60" s="16"/>
      <c r="P60" s="16"/>
      <c r="Q60" s="15"/>
      <c r="R60" s="16"/>
      <c r="S60" s="16"/>
    </row>
    <row r="61" spans="1:19" ht="19.899999999999999" customHeight="1" outlineLevel="1" x14ac:dyDescent="0.25">
      <c r="A61" s="1">
        <f>IF(B61&gt;0,SUM(MAX($A$10:A60),1),0)</f>
        <v>0</v>
      </c>
      <c r="B61" s="203"/>
      <c r="C61" s="27" t="s">
        <v>120</v>
      </c>
      <c r="D61" s="203"/>
      <c r="E61" s="207"/>
      <c r="F61" s="26">
        <v>1</v>
      </c>
      <c r="G61" s="28">
        <v>980</v>
      </c>
      <c r="H61" s="209"/>
      <c r="I61" s="33"/>
      <c r="J61" s="33"/>
      <c r="K61" s="201"/>
      <c r="L61" s="15"/>
      <c r="M61" s="16"/>
      <c r="N61" s="16"/>
      <c r="O61" s="16"/>
      <c r="P61" s="16"/>
      <c r="Q61" s="15"/>
      <c r="R61" s="16"/>
      <c r="S61" s="16"/>
    </row>
    <row r="62" spans="1:19" s="2" customFormat="1" ht="24.75" customHeight="1" outlineLevel="1" x14ac:dyDescent="0.25">
      <c r="A62" s="1">
        <f>IF(B62&gt;0,SUM(MAX($A$10:A61),1),0)</f>
        <v>29</v>
      </c>
      <c r="B62" s="202">
        <v>4</v>
      </c>
      <c r="C62" s="27" t="s">
        <v>121</v>
      </c>
      <c r="D62" s="202" t="s">
        <v>118</v>
      </c>
      <c r="E62" s="206" t="s">
        <v>26</v>
      </c>
      <c r="F62" s="26">
        <v>5</v>
      </c>
      <c r="G62" s="28">
        <v>1500</v>
      </c>
      <c r="H62" s="208" t="str">
        <f t="shared" ref="H62:H72" si="5">IF(AND(Q62&lt;3600,Q62&gt;0),"nhỏ",IF(AND(Q62&gt;=3600,Q62&lt;72000),"vừa",IF(Q62&lt;&gt;0,"lớn",0)))</f>
        <v>vừa</v>
      </c>
      <c r="I62" s="208"/>
      <c r="J62" s="208"/>
      <c r="K62" s="200" t="s">
        <v>122</v>
      </c>
      <c r="L62" s="23"/>
      <c r="M62" s="24"/>
      <c r="N62" s="24"/>
      <c r="O62" s="24"/>
      <c r="P62" s="24"/>
      <c r="Q62" s="15">
        <f>F62*G62+F63*G63</f>
        <v>9500</v>
      </c>
      <c r="R62" s="24"/>
      <c r="S62" s="24"/>
    </row>
    <row r="63" spans="1:19" s="2" customFormat="1" ht="30.75" customHeight="1" outlineLevel="1" x14ac:dyDescent="0.25">
      <c r="A63" s="1">
        <f>IF(B63&gt;0,SUM(MAX($A$10:A62),1),0)</f>
        <v>0</v>
      </c>
      <c r="B63" s="203"/>
      <c r="C63" s="27" t="s">
        <v>123</v>
      </c>
      <c r="D63" s="203"/>
      <c r="E63" s="207"/>
      <c r="F63" s="26">
        <v>2</v>
      </c>
      <c r="G63" s="28">
        <v>1000</v>
      </c>
      <c r="H63" s="209"/>
      <c r="I63" s="209"/>
      <c r="J63" s="209"/>
      <c r="K63" s="201"/>
      <c r="L63" s="23"/>
      <c r="M63" s="24"/>
      <c r="N63" s="24"/>
      <c r="O63" s="24"/>
      <c r="P63" s="24"/>
      <c r="Q63" s="23"/>
      <c r="R63" s="24"/>
      <c r="S63" s="24"/>
    </row>
    <row r="64" spans="1:19" s="2" customFormat="1" ht="19.899999999999999" customHeight="1" outlineLevel="1" x14ac:dyDescent="0.25">
      <c r="A64" s="1">
        <f>IF(B64&gt;0,SUM(MAX($A$10:A63),1),0)</f>
        <v>30</v>
      </c>
      <c r="B64" s="202">
        <v>5</v>
      </c>
      <c r="C64" s="204" t="s">
        <v>124</v>
      </c>
      <c r="D64" s="202" t="s">
        <v>88</v>
      </c>
      <c r="E64" s="206" t="s">
        <v>26</v>
      </c>
      <c r="F64" s="26">
        <v>5</v>
      </c>
      <c r="G64" s="28">
        <v>980</v>
      </c>
      <c r="H64" s="29" t="str">
        <f t="shared" si="5"/>
        <v>vừa</v>
      </c>
      <c r="I64" s="212">
        <v>211</v>
      </c>
      <c r="J64" s="212">
        <v>211</v>
      </c>
      <c r="K64" s="200" t="s">
        <v>125</v>
      </c>
      <c r="L64" s="23"/>
      <c r="M64" s="24"/>
      <c r="N64" s="24"/>
      <c r="O64" s="24"/>
      <c r="P64" s="24"/>
      <c r="Q64" s="15">
        <f>F64*G64+F65*G65</f>
        <v>6400</v>
      </c>
      <c r="R64" s="24"/>
      <c r="S64" s="24"/>
    </row>
    <row r="65" spans="1:19" s="48" customFormat="1" ht="19.899999999999999" customHeight="1" outlineLevel="1" x14ac:dyDescent="0.25">
      <c r="A65" s="1">
        <f>IF(B65&gt;0,SUM(MAX($A$10:A64),1),0)</f>
        <v>0</v>
      </c>
      <c r="B65" s="203"/>
      <c r="C65" s="205"/>
      <c r="D65" s="203"/>
      <c r="E65" s="207"/>
      <c r="F65" s="26">
        <v>1</v>
      </c>
      <c r="G65" s="28">
        <v>1500</v>
      </c>
      <c r="H65" s="33"/>
      <c r="I65" s="213"/>
      <c r="J65" s="213"/>
      <c r="K65" s="201"/>
      <c r="L65" s="46"/>
      <c r="M65" s="47"/>
      <c r="N65" s="47"/>
      <c r="O65" s="47"/>
      <c r="P65" s="47"/>
      <c r="Q65" s="46"/>
      <c r="R65" s="47"/>
      <c r="S65" s="47"/>
    </row>
    <row r="66" spans="1:19" s="2" customFormat="1" ht="19.899999999999999" customHeight="1" outlineLevel="1" x14ac:dyDescent="0.25">
      <c r="A66" s="1">
        <f>IF(B66&gt;0,SUM(MAX($A$10:A65),1),0)</f>
        <v>31</v>
      </c>
      <c r="B66" s="202">
        <v>6</v>
      </c>
      <c r="C66" s="204" t="s">
        <v>126</v>
      </c>
      <c r="D66" s="202" t="s">
        <v>88</v>
      </c>
      <c r="E66" s="206" t="s">
        <v>26</v>
      </c>
      <c r="F66" s="26">
        <v>5</v>
      </c>
      <c r="G66" s="28">
        <v>980</v>
      </c>
      <c r="H66" s="208" t="str">
        <f t="shared" si="5"/>
        <v>vừa</v>
      </c>
      <c r="I66" s="212">
        <v>287</v>
      </c>
      <c r="J66" s="212">
        <v>287</v>
      </c>
      <c r="K66" s="212" t="s">
        <v>127</v>
      </c>
      <c r="L66" s="23"/>
      <c r="M66" s="24"/>
      <c r="N66" s="24"/>
      <c r="O66" s="24"/>
      <c r="P66" s="24"/>
      <c r="Q66" s="15">
        <f>F66*G66+F67*G67</f>
        <v>6400</v>
      </c>
      <c r="R66" s="24"/>
      <c r="S66" s="24"/>
    </row>
    <row r="67" spans="1:19" s="2" customFormat="1" ht="19.899999999999999" customHeight="1" outlineLevel="1" x14ac:dyDescent="0.25">
      <c r="A67" s="1">
        <f>IF(B67&gt;0,SUM(MAX($A$10:A66),1),0)</f>
        <v>0</v>
      </c>
      <c r="B67" s="203"/>
      <c r="C67" s="205"/>
      <c r="D67" s="203"/>
      <c r="E67" s="207"/>
      <c r="F67" s="26">
        <v>1</v>
      </c>
      <c r="G67" s="28">
        <v>1500</v>
      </c>
      <c r="H67" s="209"/>
      <c r="I67" s="213"/>
      <c r="J67" s="213"/>
      <c r="K67" s="213"/>
      <c r="L67" s="23"/>
      <c r="M67" s="24"/>
      <c r="N67" s="24"/>
      <c r="O67" s="24"/>
      <c r="P67" s="24"/>
      <c r="Q67" s="23"/>
      <c r="R67" s="24"/>
      <c r="S67" s="24"/>
    </row>
    <row r="68" spans="1:19" s="2" customFormat="1" ht="19.899999999999999" customHeight="1" outlineLevel="1" x14ac:dyDescent="0.25">
      <c r="A68" s="1">
        <f>IF(B68&gt;0,SUM(MAX($A$10:A67),1),0)</f>
        <v>32</v>
      </c>
      <c r="B68" s="202">
        <v>7</v>
      </c>
      <c r="C68" s="27" t="s">
        <v>128</v>
      </c>
      <c r="D68" s="202" t="s">
        <v>72</v>
      </c>
      <c r="E68" s="206" t="s">
        <v>26</v>
      </c>
      <c r="F68" s="26">
        <v>4</v>
      </c>
      <c r="G68" s="28">
        <v>980</v>
      </c>
      <c r="H68" s="208" t="str">
        <f t="shared" si="5"/>
        <v>vừa</v>
      </c>
      <c r="I68" s="28">
        <v>171</v>
      </c>
      <c r="J68" s="28">
        <v>171</v>
      </c>
      <c r="K68" s="200" t="s">
        <v>129</v>
      </c>
      <c r="L68" s="23"/>
      <c r="M68" s="24"/>
      <c r="N68" s="24"/>
      <c r="O68" s="24"/>
      <c r="P68" s="24"/>
      <c r="Q68" s="15">
        <f>F68*G68+F69*G69</f>
        <v>5880</v>
      </c>
      <c r="R68" s="24"/>
      <c r="S68" s="24"/>
    </row>
    <row r="69" spans="1:19" s="2" customFormat="1" ht="19.899999999999999" customHeight="1" outlineLevel="1" x14ac:dyDescent="0.25">
      <c r="A69" s="1">
        <f>IF(B69&gt;0,SUM(MAX($A$10:A68),1),0)</f>
        <v>0</v>
      </c>
      <c r="B69" s="203"/>
      <c r="C69" s="27" t="s">
        <v>130</v>
      </c>
      <c r="D69" s="203"/>
      <c r="E69" s="207"/>
      <c r="F69" s="26">
        <v>2</v>
      </c>
      <c r="G69" s="28">
        <v>980</v>
      </c>
      <c r="H69" s="209"/>
      <c r="I69" s="33"/>
      <c r="J69" s="33"/>
      <c r="K69" s="201"/>
      <c r="L69" s="23"/>
      <c r="M69" s="24"/>
      <c r="N69" s="24"/>
      <c r="O69" s="24"/>
      <c r="P69" s="24"/>
      <c r="Q69" s="23"/>
      <c r="R69" s="24"/>
      <c r="S69" s="24"/>
    </row>
    <row r="70" spans="1:19" s="2" customFormat="1" ht="19.899999999999999" customHeight="1" outlineLevel="1" x14ac:dyDescent="0.25">
      <c r="A70" s="1">
        <f>IF(B70&gt;0,SUM(MAX($A$10:A69),1),0)</f>
        <v>33</v>
      </c>
      <c r="B70" s="202">
        <v>8</v>
      </c>
      <c r="C70" s="204" t="s">
        <v>131</v>
      </c>
      <c r="D70" s="202" t="s">
        <v>72</v>
      </c>
      <c r="E70" s="206" t="s">
        <v>26</v>
      </c>
      <c r="F70" s="26">
        <v>7</v>
      </c>
      <c r="G70" s="28">
        <v>1500</v>
      </c>
      <c r="H70" s="208" t="str">
        <f t="shared" si="5"/>
        <v>vừa</v>
      </c>
      <c r="I70" s="212">
        <v>430</v>
      </c>
      <c r="J70" s="212">
        <v>430</v>
      </c>
      <c r="K70" s="200" t="s">
        <v>132</v>
      </c>
      <c r="L70" s="23"/>
      <c r="M70" s="24"/>
      <c r="N70" s="24"/>
      <c r="O70" s="24"/>
      <c r="P70" s="24"/>
      <c r="Q70" s="15">
        <f>F70*G70+F71*G71</f>
        <v>12460</v>
      </c>
      <c r="R70" s="24"/>
      <c r="S70" s="24"/>
    </row>
    <row r="71" spans="1:19" ht="19.899999999999999" customHeight="1" outlineLevel="1" x14ac:dyDescent="0.25">
      <c r="A71" s="1">
        <f>IF(B71&gt;0,SUM(MAX($A$10:A70),1),0)</f>
        <v>0</v>
      </c>
      <c r="B71" s="203"/>
      <c r="C71" s="205"/>
      <c r="D71" s="203"/>
      <c r="E71" s="207"/>
      <c r="F71" s="26">
        <v>2</v>
      </c>
      <c r="G71" s="28">
        <v>980</v>
      </c>
      <c r="H71" s="209"/>
      <c r="I71" s="213"/>
      <c r="J71" s="213"/>
      <c r="K71" s="201"/>
      <c r="L71" s="15"/>
      <c r="M71" s="16"/>
      <c r="N71" s="16"/>
      <c r="O71" s="16"/>
      <c r="P71" s="16"/>
      <c r="Q71" s="15"/>
      <c r="R71" s="16"/>
      <c r="S71" s="16"/>
    </row>
    <row r="72" spans="1:19" ht="19.899999999999999" customHeight="1" outlineLevel="1" x14ac:dyDescent="0.25">
      <c r="A72" s="1">
        <f>IF(B72&gt;0,SUM(MAX($A$10:A71),1),0)</f>
        <v>34</v>
      </c>
      <c r="B72" s="202">
        <v>9</v>
      </c>
      <c r="C72" s="204" t="s">
        <v>133</v>
      </c>
      <c r="D72" s="202" t="s">
        <v>134</v>
      </c>
      <c r="E72" s="206" t="s">
        <v>26</v>
      </c>
      <c r="F72" s="26">
        <v>3</v>
      </c>
      <c r="G72" s="28">
        <v>1950</v>
      </c>
      <c r="H72" s="208" t="str">
        <f t="shared" si="5"/>
        <v>vừa</v>
      </c>
      <c r="I72" s="212">
        <v>72</v>
      </c>
      <c r="J72" s="212">
        <v>72</v>
      </c>
      <c r="K72" s="212" t="s">
        <v>135</v>
      </c>
      <c r="L72" s="15"/>
      <c r="M72" s="16"/>
      <c r="N72" s="16"/>
      <c r="O72" s="16"/>
      <c r="P72" s="16"/>
      <c r="Q72" s="15">
        <f>F72*G72+F73*G73+F74*G74</f>
        <v>9770</v>
      </c>
      <c r="R72" s="16"/>
      <c r="S72" s="16"/>
    </row>
    <row r="73" spans="1:19" ht="19.899999999999999" customHeight="1" outlineLevel="1" x14ac:dyDescent="0.25">
      <c r="A73" s="1">
        <f>IF(B73&gt;0,SUM(MAX($A$10:A72),1),0)</f>
        <v>0</v>
      </c>
      <c r="B73" s="210"/>
      <c r="C73" s="205"/>
      <c r="D73" s="210"/>
      <c r="E73" s="217"/>
      <c r="F73" s="26">
        <v>2</v>
      </c>
      <c r="G73" s="28">
        <v>980</v>
      </c>
      <c r="H73" s="211"/>
      <c r="I73" s="218"/>
      <c r="J73" s="218"/>
      <c r="K73" s="218"/>
      <c r="L73" s="15"/>
      <c r="M73" s="16"/>
      <c r="N73" s="16"/>
      <c r="O73" s="16"/>
      <c r="P73" s="16"/>
      <c r="Q73" s="15"/>
      <c r="R73" s="16"/>
      <c r="S73" s="16"/>
    </row>
    <row r="74" spans="1:19" ht="19.899999999999999" customHeight="1" outlineLevel="1" x14ac:dyDescent="0.25">
      <c r="A74" s="1">
        <f>IF(B74&gt;0,SUM(MAX($A$10:A73),1),0)</f>
        <v>0</v>
      </c>
      <c r="B74" s="203"/>
      <c r="C74" s="27" t="s">
        <v>136</v>
      </c>
      <c r="D74" s="203"/>
      <c r="E74" s="217"/>
      <c r="F74" s="26">
        <v>2</v>
      </c>
      <c r="G74" s="28">
        <v>980</v>
      </c>
      <c r="H74" s="209"/>
      <c r="I74" s="213"/>
      <c r="J74" s="213"/>
      <c r="K74" s="213"/>
      <c r="L74" s="15"/>
      <c r="M74" s="16"/>
      <c r="N74" s="16"/>
      <c r="O74" s="16"/>
      <c r="P74" s="16"/>
      <c r="Q74" s="15"/>
      <c r="R74" s="16"/>
      <c r="S74" s="16"/>
    </row>
    <row r="75" spans="1:19" ht="19.899999999999999" customHeight="1" outlineLevel="1" x14ac:dyDescent="0.25">
      <c r="A75" s="1">
        <f>IF(B75&gt;0,SUM(MAX($A$10:A74),1),0)</f>
        <v>35</v>
      </c>
      <c r="B75" s="202">
        <v>10</v>
      </c>
      <c r="C75" s="204" t="s">
        <v>137</v>
      </c>
      <c r="D75" s="202" t="s">
        <v>101</v>
      </c>
      <c r="E75" s="206" t="s">
        <v>83</v>
      </c>
      <c r="F75" s="26">
        <v>4</v>
      </c>
      <c r="G75" s="28">
        <v>900</v>
      </c>
      <c r="H75" s="208" t="str">
        <f>IF(AND(Q75&lt;3600,Q75&gt;0),"nhỏ",IF(AND(Q75&gt;=3600,Q75&lt;72000),"vừa",IF(Q75&lt;&gt;0,"lớn",0)))</f>
        <v>vừa</v>
      </c>
      <c r="I75" s="212">
        <v>256</v>
      </c>
      <c r="J75" s="212">
        <v>256</v>
      </c>
      <c r="K75" s="206"/>
      <c r="L75" s="15"/>
      <c r="M75" s="16"/>
      <c r="N75" s="16"/>
      <c r="O75" s="16"/>
      <c r="P75" s="16"/>
      <c r="Q75" s="15">
        <f>F75*G75+F76*G76</f>
        <v>8100</v>
      </c>
      <c r="R75" s="16"/>
      <c r="S75" s="16"/>
    </row>
    <row r="76" spans="1:19" ht="19.899999999999999" customHeight="1" outlineLevel="1" x14ac:dyDescent="0.25">
      <c r="A76" s="1">
        <f>IF(B76&gt;0,SUM(MAX($A$10:A75),1),0)</f>
        <v>0</v>
      </c>
      <c r="B76" s="203"/>
      <c r="C76" s="205"/>
      <c r="D76" s="203"/>
      <c r="E76" s="207"/>
      <c r="F76" s="26">
        <v>3</v>
      </c>
      <c r="G76" s="28">
        <v>1500</v>
      </c>
      <c r="H76" s="209"/>
      <c r="I76" s="213"/>
      <c r="J76" s="213"/>
      <c r="K76" s="207"/>
      <c r="L76" s="15"/>
      <c r="M76" s="16"/>
      <c r="N76" s="16"/>
      <c r="O76" s="16"/>
      <c r="P76" s="16"/>
      <c r="Q76" s="15"/>
      <c r="R76" s="16"/>
      <c r="S76" s="16"/>
    </row>
    <row r="77" spans="1:19" ht="19.899999999999999" customHeight="1" outlineLevel="1" x14ac:dyDescent="0.25">
      <c r="A77" s="1">
        <f>IF(B77&gt;0,SUM(MAX($A$10:A76),1),0)</f>
        <v>36</v>
      </c>
      <c r="B77" s="202">
        <v>11</v>
      </c>
      <c r="C77" s="204" t="s">
        <v>138</v>
      </c>
      <c r="D77" s="202" t="s">
        <v>98</v>
      </c>
      <c r="E77" s="202" t="s">
        <v>139</v>
      </c>
      <c r="F77" s="26">
        <v>1</v>
      </c>
      <c r="G77" s="28">
        <v>1500</v>
      </c>
      <c r="H77" s="208" t="str">
        <f>IF(AND(Q77&lt;3600,Q77&gt;0),"nhỏ",IF(AND(Q77&gt;=3600,Q77&lt;72000),"vừa",IF(Q77&lt;&gt;0,"lớn",0)))</f>
        <v>vừa</v>
      </c>
      <c r="I77" s="212">
        <v>167</v>
      </c>
      <c r="J77" s="212">
        <v>167</v>
      </c>
      <c r="K77" s="206"/>
      <c r="L77" s="15"/>
      <c r="M77" s="16"/>
      <c r="N77" s="16"/>
      <c r="O77" s="16"/>
      <c r="P77" s="16"/>
      <c r="Q77" s="15">
        <f>F77*G77+F78*G78+F79*G79</f>
        <v>5240</v>
      </c>
      <c r="R77" s="16"/>
      <c r="S77" s="16"/>
    </row>
    <row r="78" spans="1:19" ht="19.899999999999999" customHeight="1" outlineLevel="1" x14ac:dyDescent="0.25">
      <c r="A78" s="1">
        <f>IF(B78&gt;0,SUM(MAX($A$10:A77),1),0)</f>
        <v>0</v>
      </c>
      <c r="B78" s="210"/>
      <c r="C78" s="219"/>
      <c r="D78" s="210"/>
      <c r="E78" s="210"/>
      <c r="F78" s="26">
        <v>3</v>
      </c>
      <c r="G78" s="28">
        <v>980</v>
      </c>
      <c r="H78" s="211"/>
      <c r="I78" s="218"/>
      <c r="J78" s="218"/>
      <c r="K78" s="217"/>
      <c r="L78" s="15"/>
      <c r="M78" s="16"/>
      <c r="N78" s="16"/>
      <c r="O78" s="16"/>
      <c r="P78" s="16"/>
      <c r="Q78" s="15"/>
      <c r="R78" s="16"/>
      <c r="S78" s="16"/>
    </row>
    <row r="79" spans="1:19" ht="19.899999999999999" customHeight="1" outlineLevel="1" x14ac:dyDescent="0.25">
      <c r="A79" s="1">
        <f>IF(B79&gt;0,SUM(MAX($A$10:A78),1),0)</f>
        <v>0</v>
      </c>
      <c r="B79" s="203"/>
      <c r="C79" s="205"/>
      <c r="D79" s="203"/>
      <c r="E79" s="203"/>
      <c r="F79" s="26">
        <v>1</v>
      </c>
      <c r="G79" s="28">
        <v>800</v>
      </c>
      <c r="H79" s="209"/>
      <c r="I79" s="213"/>
      <c r="J79" s="213"/>
      <c r="K79" s="207"/>
      <c r="L79" s="15"/>
      <c r="M79" s="16"/>
      <c r="N79" s="16"/>
      <c r="O79" s="16"/>
      <c r="P79" s="16"/>
      <c r="Q79" s="15"/>
      <c r="R79" s="16"/>
      <c r="S79" s="16"/>
    </row>
    <row r="80" spans="1:19" s="2" customFormat="1" ht="19.899999999999999" customHeight="1" x14ac:dyDescent="0.25">
      <c r="A80" s="1">
        <f>IF(B80&gt;0,SUM(MAX($A$10:A79),1),0)</f>
        <v>37</v>
      </c>
      <c r="B80" s="26">
        <v>12</v>
      </c>
      <c r="C80" s="27" t="s">
        <v>140</v>
      </c>
      <c r="D80" s="26" t="s">
        <v>98</v>
      </c>
      <c r="E80" s="26" t="s">
        <v>139</v>
      </c>
      <c r="F80" s="26">
        <v>5</v>
      </c>
      <c r="G80" s="28">
        <v>4000</v>
      </c>
      <c r="H80" s="29" t="str">
        <f>IF(AND(Q80&lt;3600,Q80&gt;0),"nhỏ",IF(AND(Q80&gt;=3600,Q80&lt;72000),"vừa",IF(Q80&lt;&gt;0,"lớn",0)))</f>
        <v>vừa</v>
      </c>
      <c r="I80" s="28">
        <v>866</v>
      </c>
      <c r="J80" s="28">
        <v>866</v>
      </c>
      <c r="K80" s="22"/>
      <c r="L80" s="23"/>
      <c r="M80" s="24"/>
      <c r="N80" s="24"/>
      <c r="O80" s="24"/>
      <c r="P80" s="24"/>
      <c r="Q80" s="23">
        <f>F80*G80</f>
        <v>20000</v>
      </c>
      <c r="R80" s="24"/>
      <c r="S80" s="24"/>
    </row>
    <row r="81" spans="1:33" ht="19.899999999999999" customHeight="1" outlineLevel="1" x14ac:dyDescent="0.25">
      <c r="A81" s="1">
        <f>IF(B81&gt;0,SUM(MAX($A$10:A80),1),0)</f>
        <v>38</v>
      </c>
      <c r="B81" s="202">
        <v>13</v>
      </c>
      <c r="C81" s="204" t="s">
        <v>141</v>
      </c>
      <c r="D81" s="202" t="s">
        <v>98</v>
      </c>
      <c r="E81" s="206" t="s">
        <v>26</v>
      </c>
      <c r="F81" s="26">
        <v>4</v>
      </c>
      <c r="G81" s="28">
        <v>980</v>
      </c>
      <c r="H81" s="208" t="str">
        <f>IF(AND(Q81&lt;3600,Q81&gt;0),"nhỏ",IF(AND(Q81&gt;=3600,Q81&lt;72000),"vừa",IF(Q81&lt;&gt;0,"lớn",0)))</f>
        <v>vừa</v>
      </c>
      <c r="I81" s="212">
        <v>96</v>
      </c>
      <c r="J81" s="212">
        <v>96</v>
      </c>
      <c r="K81" s="212" t="s">
        <v>142</v>
      </c>
      <c r="L81" s="15"/>
      <c r="M81" s="16"/>
      <c r="N81" s="16"/>
      <c r="O81" s="16"/>
      <c r="P81" s="16"/>
      <c r="Q81" s="15">
        <f>F81*G81+F82*G82+F83*G83</f>
        <v>6400</v>
      </c>
      <c r="R81" s="16"/>
      <c r="S81" s="16"/>
    </row>
    <row r="82" spans="1:33" ht="19.899999999999999" customHeight="1" outlineLevel="1" x14ac:dyDescent="0.25">
      <c r="A82" s="1">
        <f>IF(B82&gt;0,SUM(MAX($A$10:A81),1),0)</f>
        <v>0</v>
      </c>
      <c r="B82" s="210"/>
      <c r="C82" s="205"/>
      <c r="D82" s="210"/>
      <c r="E82" s="217"/>
      <c r="F82" s="26">
        <v>1</v>
      </c>
      <c r="G82" s="28">
        <v>1500</v>
      </c>
      <c r="H82" s="211"/>
      <c r="I82" s="218"/>
      <c r="J82" s="218"/>
      <c r="K82" s="218"/>
      <c r="L82" s="15"/>
      <c r="M82" s="16"/>
      <c r="N82" s="16"/>
      <c r="O82" s="16"/>
      <c r="P82" s="16"/>
      <c r="Q82" s="15"/>
      <c r="R82" s="16"/>
      <c r="S82" s="16"/>
    </row>
    <row r="83" spans="1:33" ht="19.899999999999999" customHeight="1" outlineLevel="1" x14ac:dyDescent="0.25">
      <c r="A83" s="1">
        <f>IF(B83&gt;0,SUM(MAX($A$10:A82),1),0)</f>
        <v>0</v>
      </c>
      <c r="B83" s="203"/>
      <c r="C83" s="27" t="s">
        <v>143</v>
      </c>
      <c r="D83" s="203"/>
      <c r="E83" s="207"/>
      <c r="F83" s="26">
        <v>1</v>
      </c>
      <c r="G83" s="28">
        <v>980</v>
      </c>
      <c r="H83" s="209"/>
      <c r="I83" s="213"/>
      <c r="J83" s="213"/>
      <c r="K83" s="213"/>
      <c r="L83" s="15"/>
      <c r="M83" s="16"/>
      <c r="N83" s="16"/>
      <c r="O83" s="16"/>
      <c r="P83" s="16"/>
      <c r="Q83" s="15"/>
      <c r="R83" s="16"/>
      <c r="S83" s="16"/>
    </row>
    <row r="84" spans="1:33" ht="19.899999999999999" customHeight="1" outlineLevel="1" x14ac:dyDescent="0.25">
      <c r="A84" s="1">
        <f>IF(B84&gt;0,SUM(MAX($A$10:A83),1),0)</f>
        <v>39</v>
      </c>
      <c r="B84" s="202">
        <v>14</v>
      </c>
      <c r="C84" s="204" t="s">
        <v>144</v>
      </c>
      <c r="D84" s="202" t="s">
        <v>69</v>
      </c>
      <c r="E84" s="206" t="s">
        <v>26</v>
      </c>
      <c r="F84" s="26">
        <v>1</v>
      </c>
      <c r="G84" s="28">
        <v>980</v>
      </c>
      <c r="H84" s="208" t="str">
        <f>IF(AND(Q84&lt;3600,Q84&gt;0),"nhỏ",IF(AND(Q84&gt;=3600,Q84&lt;72000),"vừa",IF(Q84&lt;&gt;0,"lớn",0)))</f>
        <v>nhỏ</v>
      </c>
      <c r="I84" s="208"/>
      <c r="J84" s="208"/>
      <c r="K84" s="212" t="s">
        <v>74</v>
      </c>
      <c r="L84" s="15"/>
      <c r="M84" s="16"/>
      <c r="N84" s="16"/>
      <c r="O84" s="16"/>
      <c r="P84" s="16"/>
      <c r="Q84" s="15">
        <f>F84*G84+F85*G85</f>
        <v>2480</v>
      </c>
      <c r="R84" s="16"/>
      <c r="S84" s="16"/>
    </row>
    <row r="85" spans="1:33" ht="19.899999999999999" customHeight="1" outlineLevel="1" x14ac:dyDescent="0.25">
      <c r="A85" s="1">
        <f>IF(B85&gt;0,SUM(MAX($A$10:A84),1),0)</f>
        <v>0</v>
      </c>
      <c r="B85" s="203"/>
      <c r="C85" s="205"/>
      <c r="D85" s="203"/>
      <c r="E85" s="207"/>
      <c r="F85" s="26">
        <v>1</v>
      </c>
      <c r="G85" s="28">
        <v>1500</v>
      </c>
      <c r="H85" s="209"/>
      <c r="I85" s="209"/>
      <c r="J85" s="209"/>
      <c r="K85" s="213"/>
      <c r="L85" s="15"/>
      <c r="M85" s="16"/>
      <c r="N85" s="16"/>
      <c r="O85" s="16"/>
      <c r="P85" s="16"/>
      <c r="Q85" s="15"/>
      <c r="R85" s="16"/>
      <c r="S85" s="16"/>
    </row>
    <row r="86" spans="1:33" s="53" customFormat="1" ht="19.899999999999999" customHeight="1" x14ac:dyDescent="0.25">
      <c r="A86" s="1"/>
      <c r="B86" s="19" t="s">
        <v>145</v>
      </c>
      <c r="C86" s="20" t="s">
        <v>146</v>
      </c>
      <c r="D86" s="19" t="str">
        <f>CONCATENATE(COUNT(B86:B226)," trạm")</f>
        <v>96 trạm</v>
      </c>
      <c r="E86" s="19"/>
      <c r="F86" s="17">
        <f>SUM(F87,F107,F121,)</f>
        <v>408</v>
      </c>
      <c r="G86" s="31"/>
      <c r="H86" s="49"/>
      <c r="I86" s="49"/>
      <c r="J86" s="49"/>
      <c r="K86" s="50"/>
      <c r="L86" s="51">
        <f>+L87+L107+L121</f>
        <v>2</v>
      </c>
      <c r="M86" s="51">
        <f>+M87+M107+M121</f>
        <v>60</v>
      </c>
      <c r="N86" s="51">
        <f>+N87+N107+N121</f>
        <v>34</v>
      </c>
      <c r="O86" s="52"/>
      <c r="P86" s="52"/>
      <c r="Q86" s="51">
        <f>+Q87+Q107+Q121</f>
        <v>835084</v>
      </c>
      <c r="R86" s="52"/>
      <c r="S86" s="52"/>
    </row>
    <row r="87" spans="1:33" s="53" customFormat="1" ht="19.899999999999999" customHeight="1" x14ac:dyDescent="0.25">
      <c r="A87" s="1">
        <f>IF(B87&gt;0,SUM(MAX($A$10:A86),1),0)</f>
        <v>0</v>
      </c>
      <c r="B87" s="19"/>
      <c r="C87" s="20" t="s">
        <v>20</v>
      </c>
      <c r="D87" s="19" t="str">
        <f>CONCATENATE(COUNT(B87:B107)," trạm")</f>
        <v>17 trạm</v>
      </c>
      <c r="E87" s="19"/>
      <c r="F87" s="17">
        <f>SUM(F88:F106)</f>
        <v>37</v>
      </c>
      <c r="G87" s="31"/>
      <c r="H87" s="49"/>
      <c r="I87" s="49"/>
      <c r="J87" s="49"/>
      <c r="K87" s="50"/>
      <c r="L87" s="25">
        <f>COUNTIF(H88:H106,"lớn")</f>
        <v>0</v>
      </c>
      <c r="M87" s="25">
        <f>COUNTIF(H88:H106,"vừa")</f>
        <v>5</v>
      </c>
      <c r="N87" s="25">
        <f>COUNTIF(H88:H106,"nhỏ")</f>
        <v>12</v>
      </c>
      <c r="O87" s="52"/>
      <c r="P87" s="52"/>
      <c r="Q87" s="51">
        <f>SUM(Q88:Q106)+AE96</f>
        <v>94714</v>
      </c>
      <c r="R87" s="52"/>
      <c r="S87" s="52"/>
    </row>
    <row r="88" spans="1:33" s="57" customFormat="1" ht="19.899999999999999" customHeight="1" outlineLevel="1" x14ac:dyDescent="0.25">
      <c r="A88" s="1">
        <f>IF(B88&gt;0,SUM(MAX($A$10:A87),1),0)</f>
        <v>40</v>
      </c>
      <c r="B88" s="26">
        <v>1</v>
      </c>
      <c r="C88" s="27" t="s">
        <v>147</v>
      </c>
      <c r="D88" s="26" t="s">
        <v>148</v>
      </c>
      <c r="E88" s="26"/>
      <c r="F88" s="26">
        <v>1</v>
      </c>
      <c r="G88" s="28">
        <v>540</v>
      </c>
      <c r="H88" s="29" t="str">
        <f t="shared" ref="H88:H151" si="6">IF(AND(Q88&lt;3600,Q88&gt;0),"nhỏ",IF(AND(Q88&gt;=3600,Q88&lt;72000),"vừa",IF(Q88&lt;&gt;0,"lớn",0)))</f>
        <v>nhỏ</v>
      </c>
      <c r="I88" s="29"/>
      <c r="J88" s="29"/>
      <c r="K88" s="54"/>
      <c r="L88" s="55"/>
      <c r="M88" s="56"/>
      <c r="N88" s="56"/>
      <c r="O88" s="56"/>
      <c r="P88" s="56"/>
      <c r="Q88" s="55">
        <f>F88*G88</f>
        <v>540</v>
      </c>
      <c r="R88" s="56"/>
      <c r="S88" s="56"/>
    </row>
    <row r="89" spans="1:33" s="57" customFormat="1" ht="19.899999999999999" customHeight="1" outlineLevel="1" x14ac:dyDescent="0.25">
      <c r="A89" s="1">
        <f>IF(B89&gt;0,SUM(MAX($A$10:A88),1),0)</f>
        <v>41</v>
      </c>
      <c r="B89" s="26">
        <v>2</v>
      </c>
      <c r="C89" s="27" t="s">
        <v>149</v>
      </c>
      <c r="D89" s="26" t="s">
        <v>148</v>
      </c>
      <c r="E89" s="30" t="s">
        <v>150</v>
      </c>
      <c r="F89" s="26">
        <v>2</v>
      </c>
      <c r="G89" s="28">
        <v>997</v>
      </c>
      <c r="H89" s="29" t="str">
        <f t="shared" si="6"/>
        <v>nhỏ</v>
      </c>
      <c r="I89" s="28">
        <v>130</v>
      </c>
      <c r="J89" s="29"/>
      <c r="K89" s="54"/>
      <c r="L89" s="55"/>
      <c r="M89" s="56"/>
      <c r="N89" s="56"/>
      <c r="O89" s="56"/>
      <c r="P89" s="56"/>
      <c r="Q89" s="55">
        <f t="shared" ref="Q89:Q97" si="7">F89*G89</f>
        <v>1994</v>
      </c>
      <c r="R89" s="56"/>
      <c r="S89" s="56"/>
    </row>
    <row r="90" spans="1:33" s="57" customFormat="1" ht="19.899999999999999" customHeight="1" outlineLevel="1" x14ac:dyDescent="0.25">
      <c r="A90" s="1">
        <f>IF(B90&gt;0,SUM(MAX($A$10:A89),1),0)</f>
        <v>42</v>
      </c>
      <c r="B90" s="26">
        <v>3</v>
      </c>
      <c r="C90" s="27" t="s">
        <v>151</v>
      </c>
      <c r="D90" s="26" t="s">
        <v>152</v>
      </c>
      <c r="E90" s="30" t="s">
        <v>26</v>
      </c>
      <c r="F90" s="26">
        <v>4</v>
      </c>
      <c r="G90" s="28">
        <v>1200</v>
      </c>
      <c r="H90" s="29" t="str">
        <f t="shared" si="6"/>
        <v>vừa</v>
      </c>
      <c r="I90" s="28">
        <v>200</v>
      </c>
      <c r="J90" s="31"/>
      <c r="K90" s="31" t="s">
        <v>153</v>
      </c>
      <c r="L90" s="55"/>
      <c r="M90" s="56"/>
      <c r="N90" s="56"/>
      <c r="O90" s="56"/>
      <c r="P90" s="56"/>
      <c r="Q90" s="55">
        <f t="shared" si="7"/>
        <v>4800</v>
      </c>
      <c r="R90" s="56"/>
      <c r="S90" s="56"/>
    </row>
    <row r="91" spans="1:33" s="57" customFormat="1" ht="19.899999999999999" customHeight="1" outlineLevel="1" x14ac:dyDescent="0.25">
      <c r="A91" s="1">
        <f>IF(B91&gt;0,SUM(MAX($A$10:A90),1),0)</f>
        <v>43</v>
      </c>
      <c r="B91" s="26">
        <v>4</v>
      </c>
      <c r="C91" s="27" t="s">
        <v>154</v>
      </c>
      <c r="D91" s="26" t="s">
        <v>152</v>
      </c>
      <c r="E91" s="30" t="s">
        <v>26</v>
      </c>
      <c r="F91" s="26">
        <v>1</v>
      </c>
      <c r="G91" s="28">
        <v>980</v>
      </c>
      <c r="H91" s="29" t="str">
        <f t="shared" si="6"/>
        <v>nhỏ</v>
      </c>
      <c r="I91" s="28">
        <v>50</v>
      </c>
      <c r="J91" s="31"/>
      <c r="K91" s="31" t="s">
        <v>155</v>
      </c>
      <c r="L91" s="55"/>
      <c r="M91" s="56"/>
      <c r="N91" s="56"/>
      <c r="O91" s="56"/>
      <c r="P91" s="56"/>
      <c r="Q91" s="55">
        <f t="shared" si="7"/>
        <v>980</v>
      </c>
      <c r="R91" s="56"/>
      <c r="S91" s="56"/>
    </row>
    <row r="92" spans="1:33" ht="19.899999999999999" customHeight="1" outlineLevel="1" x14ac:dyDescent="0.25">
      <c r="A92" s="1">
        <f>IF(B92&gt;0,SUM(MAX($A$10:A91),1),0)</f>
        <v>44</v>
      </c>
      <c r="B92" s="26">
        <v>5</v>
      </c>
      <c r="C92" s="27" t="s">
        <v>156</v>
      </c>
      <c r="D92" s="26" t="s">
        <v>157</v>
      </c>
      <c r="E92" s="26" t="s">
        <v>158</v>
      </c>
      <c r="F92" s="26">
        <v>1</v>
      </c>
      <c r="G92" s="28">
        <v>980</v>
      </c>
      <c r="H92" s="29" t="str">
        <f t="shared" si="6"/>
        <v>nhỏ</v>
      </c>
      <c r="I92" s="28">
        <v>40</v>
      </c>
      <c r="J92" s="31"/>
      <c r="K92" s="31" t="s">
        <v>159</v>
      </c>
      <c r="L92" s="15"/>
      <c r="M92" s="16"/>
      <c r="N92" s="16"/>
      <c r="O92" s="16"/>
      <c r="P92" s="16"/>
      <c r="Q92" s="55">
        <f t="shared" si="7"/>
        <v>980</v>
      </c>
      <c r="R92" s="16"/>
      <c r="S92" s="16"/>
    </row>
    <row r="93" spans="1:33" s="57" customFormat="1" ht="19.899999999999999" customHeight="1" outlineLevel="1" x14ac:dyDescent="0.25">
      <c r="A93" s="1">
        <f>IF(B93&gt;0,SUM(MAX($A$10:A92),1),0)</f>
        <v>45</v>
      </c>
      <c r="B93" s="26">
        <v>6</v>
      </c>
      <c r="C93" s="27" t="s">
        <v>160</v>
      </c>
      <c r="D93" s="26" t="s">
        <v>161</v>
      </c>
      <c r="E93" s="26" t="s">
        <v>162</v>
      </c>
      <c r="F93" s="26">
        <v>2</v>
      </c>
      <c r="G93" s="28">
        <v>980</v>
      </c>
      <c r="H93" s="29" t="str">
        <f t="shared" si="6"/>
        <v>nhỏ</v>
      </c>
      <c r="I93" s="29"/>
      <c r="J93" s="29"/>
      <c r="K93" s="54"/>
      <c r="L93" s="55"/>
      <c r="M93" s="56"/>
      <c r="N93" s="56"/>
      <c r="O93" s="56"/>
      <c r="P93" s="56"/>
      <c r="Q93" s="55">
        <f t="shared" si="7"/>
        <v>1960</v>
      </c>
      <c r="R93" s="56"/>
      <c r="S93" s="56"/>
    </row>
    <row r="94" spans="1:33" s="57" customFormat="1" ht="19.899999999999999" customHeight="1" outlineLevel="1" x14ac:dyDescent="0.25">
      <c r="A94" s="1">
        <f>IF(B94&gt;0,SUM(MAX($A$10:A93),1),0)</f>
        <v>46</v>
      </c>
      <c r="B94" s="26">
        <v>7</v>
      </c>
      <c r="C94" s="27" t="s">
        <v>163</v>
      </c>
      <c r="D94" s="26" t="s">
        <v>164</v>
      </c>
      <c r="E94" s="26" t="s">
        <v>165</v>
      </c>
      <c r="F94" s="26">
        <v>1</v>
      </c>
      <c r="G94" s="28">
        <v>980</v>
      </c>
      <c r="H94" s="29" t="str">
        <f t="shared" si="6"/>
        <v>nhỏ</v>
      </c>
      <c r="I94" s="28">
        <v>60</v>
      </c>
      <c r="J94" s="29"/>
      <c r="K94" s="54"/>
      <c r="L94" s="55"/>
      <c r="M94" s="56"/>
      <c r="N94" s="56"/>
      <c r="O94" s="56"/>
      <c r="P94" s="56"/>
      <c r="Q94" s="55">
        <f t="shared" si="7"/>
        <v>980</v>
      </c>
      <c r="R94" s="56"/>
      <c r="S94" s="56"/>
    </row>
    <row r="95" spans="1:33" s="57" customFormat="1" ht="19.899999999999999" customHeight="1" outlineLevel="1" x14ac:dyDescent="0.25">
      <c r="A95" s="1">
        <f>IF(B95&gt;0,SUM(MAX($A$10:A94),1),0)</f>
        <v>47</v>
      </c>
      <c r="B95" s="26">
        <v>8</v>
      </c>
      <c r="C95" s="27" t="s">
        <v>166</v>
      </c>
      <c r="D95" s="26" t="s">
        <v>167</v>
      </c>
      <c r="E95" s="26" t="s">
        <v>37</v>
      </c>
      <c r="F95" s="26">
        <v>2</v>
      </c>
      <c r="G95" s="28">
        <v>3000</v>
      </c>
      <c r="H95" s="29" t="str">
        <f t="shared" si="6"/>
        <v>vừa</v>
      </c>
      <c r="I95" s="31"/>
      <c r="J95" s="31"/>
      <c r="K95" s="31" t="s">
        <v>168</v>
      </c>
      <c r="L95" s="55"/>
      <c r="M95" s="56"/>
      <c r="N95" s="56"/>
      <c r="O95" s="56"/>
      <c r="P95" s="56"/>
      <c r="Q95" s="55">
        <f t="shared" si="7"/>
        <v>6000</v>
      </c>
      <c r="R95" s="56"/>
      <c r="S95" s="56"/>
      <c r="W95" t="s">
        <v>169</v>
      </c>
      <c r="X95"/>
      <c r="Y95"/>
      <c r="Z95"/>
      <c r="AA95"/>
      <c r="AB95"/>
      <c r="AC95"/>
      <c r="AD95"/>
      <c r="AE95"/>
      <c r="AF95"/>
      <c r="AG95"/>
    </row>
    <row r="96" spans="1:33" s="57" customFormat="1" ht="19.899999999999999" customHeight="1" outlineLevel="1" x14ac:dyDescent="0.25">
      <c r="A96" s="1">
        <f>IF(B96&gt;0,SUM(MAX($A$10:A95),1),0)</f>
        <v>48</v>
      </c>
      <c r="B96" s="26">
        <v>9</v>
      </c>
      <c r="C96" s="27" t="s">
        <v>170</v>
      </c>
      <c r="D96" s="26" t="s">
        <v>167</v>
      </c>
      <c r="E96" s="26" t="s">
        <v>37</v>
      </c>
      <c r="F96" s="26">
        <v>4</v>
      </c>
      <c r="G96" s="28">
        <v>8110</v>
      </c>
      <c r="H96" s="29" t="str">
        <f t="shared" si="6"/>
        <v>vừa</v>
      </c>
      <c r="I96" s="58">
        <v>4668</v>
      </c>
      <c r="J96" s="31"/>
      <c r="K96" s="31" t="s">
        <v>171</v>
      </c>
      <c r="L96" s="55"/>
      <c r="M96" s="56"/>
      <c r="N96" s="56"/>
      <c r="O96" s="56"/>
      <c r="P96" s="56"/>
      <c r="Q96" s="55">
        <f t="shared" si="7"/>
        <v>32440</v>
      </c>
      <c r="R96" s="56"/>
      <c r="S96" s="56"/>
      <c r="W96" s="59">
        <v>1</v>
      </c>
      <c r="X96" s="59" t="s">
        <v>172</v>
      </c>
      <c r="Y96" s="59"/>
      <c r="Z96" s="59">
        <v>1</v>
      </c>
      <c r="AA96" s="59">
        <v>540</v>
      </c>
      <c r="AB96" s="59"/>
      <c r="AC96" s="59"/>
      <c r="AD96">
        <f>Z96*AA96</f>
        <v>540</v>
      </c>
      <c r="AE96">
        <f>SUM(AD96:AD102)</f>
        <v>8360</v>
      </c>
      <c r="AF96"/>
      <c r="AG96"/>
    </row>
    <row r="97" spans="1:33" s="57" customFormat="1" ht="19.899999999999999" customHeight="1" outlineLevel="1" x14ac:dyDescent="0.25">
      <c r="A97" s="1">
        <f>IF(B97&gt;0,SUM(MAX($A$10:A96),1),0)</f>
        <v>49</v>
      </c>
      <c r="B97" s="26">
        <v>10</v>
      </c>
      <c r="C97" s="27" t="s">
        <v>173</v>
      </c>
      <c r="D97" s="26" t="s">
        <v>174</v>
      </c>
      <c r="E97" s="26" t="s">
        <v>175</v>
      </c>
      <c r="F97" s="26">
        <v>1</v>
      </c>
      <c r="G97" s="28">
        <v>1200</v>
      </c>
      <c r="H97" s="29" t="str">
        <f t="shared" si="6"/>
        <v>nhỏ</v>
      </c>
      <c r="I97" s="28">
        <v>75</v>
      </c>
      <c r="J97" s="29"/>
      <c r="K97" s="54"/>
      <c r="L97" s="55"/>
      <c r="M97" s="56"/>
      <c r="N97" s="56"/>
      <c r="O97" s="56"/>
      <c r="P97" s="56"/>
      <c r="Q97" s="55">
        <f t="shared" si="7"/>
        <v>1200</v>
      </c>
      <c r="R97" s="56"/>
      <c r="S97" s="56"/>
      <c r="W97" s="59">
        <v>2</v>
      </c>
      <c r="X97" s="59" t="s">
        <v>176</v>
      </c>
      <c r="Y97" s="59"/>
      <c r="Z97" s="59">
        <v>1</v>
      </c>
      <c r="AA97" s="59">
        <v>980</v>
      </c>
      <c r="AB97" s="59"/>
      <c r="AC97" s="59"/>
      <c r="AD97">
        <f t="shared" ref="AD97:AD108" si="8">Z97*AA97</f>
        <v>980</v>
      </c>
      <c r="AE97"/>
      <c r="AF97"/>
      <c r="AG97"/>
    </row>
    <row r="98" spans="1:33" s="57" customFormat="1" ht="19.899999999999999" customHeight="1" outlineLevel="1" x14ac:dyDescent="0.25">
      <c r="A98" s="1">
        <f>IF(B98&gt;0,SUM(MAX($A$10:A97),1),0)</f>
        <v>50</v>
      </c>
      <c r="B98" s="202">
        <v>11</v>
      </c>
      <c r="C98" s="204" t="s">
        <v>177</v>
      </c>
      <c r="D98" s="202" t="s">
        <v>174</v>
      </c>
      <c r="E98" s="202" t="s">
        <v>175</v>
      </c>
      <c r="F98" s="26">
        <v>1</v>
      </c>
      <c r="G98" s="28">
        <v>1200</v>
      </c>
      <c r="H98" s="29" t="str">
        <f t="shared" si="6"/>
        <v>nhỏ</v>
      </c>
      <c r="I98" s="212">
        <v>70</v>
      </c>
      <c r="J98" s="29"/>
      <c r="K98" s="54"/>
      <c r="L98" s="55"/>
      <c r="M98" s="56"/>
      <c r="N98" s="56"/>
      <c r="O98" s="56"/>
      <c r="P98" s="56"/>
      <c r="Q98" s="55">
        <f>F98*G98+F99*G99</f>
        <v>2180</v>
      </c>
      <c r="R98" s="56"/>
      <c r="S98" s="56"/>
      <c r="W98" s="59">
        <v>3</v>
      </c>
      <c r="X98" s="59" t="s">
        <v>178</v>
      </c>
      <c r="Y98" s="59"/>
      <c r="Z98" s="59">
        <v>2</v>
      </c>
      <c r="AA98" s="59">
        <v>980</v>
      </c>
      <c r="AB98" s="59"/>
      <c r="AC98" s="59"/>
      <c r="AD98">
        <f t="shared" si="8"/>
        <v>1960</v>
      </c>
      <c r="AE98"/>
      <c r="AF98"/>
      <c r="AG98"/>
    </row>
    <row r="99" spans="1:33" s="57" customFormat="1" ht="19.899999999999999" customHeight="1" outlineLevel="1" x14ac:dyDescent="0.25">
      <c r="A99" s="1">
        <f>IF(B99&gt;0,SUM(MAX($A$10:A98),1),0)</f>
        <v>0</v>
      </c>
      <c r="B99" s="203"/>
      <c r="C99" s="205"/>
      <c r="D99" s="203"/>
      <c r="E99" s="203"/>
      <c r="F99" s="26">
        <v>1</v>
      </c>
      <c r="G99" s="28">
        <v>980</v>
      </c>
      <c r="H99" s="33"/>
      <c r="I99" s="213"/>
      <c r="J99" s="33"/>
      <c r="K99" s="54"/>
      <c r="L99" s="55"/>
      <c r="M99" s="56"/>
      <c r="N99" s="56"/>
      <c r="O99" s="56"/>
      <c r="P99" s="56"/>
      <c r="Q99" s="55"/>
      <c r="R99" s="56"/>
      <c r="S99" s="56"/>
      <c r="W99" s="59">
        <v>4</v>
      </c>
      <c r="X99" s="59" t="s">
        <v>179</v>
      </c>
      <c r="Y99" s="59"/>
      <c r="Z99" s="59">
        <v>1</v>
      </c>
      <c r="AA99" s="59">
        <v>1400</v>
      </c>
      <c r="AB99" s="59">
        <v>980</v>
      </c>
      <c r="AC99" s="59">
        <v>1</v>
      </c>
      <c r="AD99">
        <f>AB99+AA99</f>
        <v>2380</v>
      </c>
      <c r="AE99"/>
      <c r="AF99"/>
      <c r="AG99"/>
    </row>
    <row r="100" spans="1:33" s="57" customFormat="1" ht="19.899999999999999" customHeight="1" outlineLevel="1" x14ac:dyDescent="0.25">
      <c r="A100" s="1">
        <f>IF(B100&gt;0,SUM(MAX($A$10:A99),1),0)</f>
        <v>51</v>
      </c>
      <c r="B100" s="26">
        <v>12</v>
      </c>
      <c r="C100" s="27" t="s">
        <v>180</v>
      </c>
      <c r="D100" s="26" t="s">
        <v>174</v>
      </c>
      <c r="E100" s="26" t="s">
        <v>158</v>
      </c>
      <c r="F100" s="26">
        <v>6</v>
      </c>
      <c r="G100" s="28">
        <v>1200</v>
      </c>
      <c r="H100" s="29" t="str">
        <f t="shared" si="6"/>
        <v>vừa</v>
      </c>
      <c r="I100" s="29"/>
      <c r="J100" s="29"/>
      <c r="K100" s="31" t="s">
        <v>181</v>
      </c>
      <c r="L100" s="55"/>
      <c r="M100" s="56"/>
      <c r="N100" s="56"/>
      <c r="O100" s="56"/>
      <c r="P100" s="56"/>
      <c r="Q100" s="55">
        <f>F100*G100</f>
        <v>7200</v>
      </c>
      <c r="R100" s="56"/>
      <c r="S100" s="56"/>
      <c r="W100" s="59">
        <v>5</v>
      </c>
      <c r="X100" s="59" t="s">
        <v>182</v>
      </c>
      <c r="Y100" s="59"/>
      <c r="Z100" s="59">
        <v>1</v>
      </c>
      <c r="AA100" s="59">
        <v>540</v>
      </c>
      <c r="AB100" s="59"/>
      <c r="AC100" s="59"/>
      <c r="AD100">
        <f t="shared" si="8"/>
        <v>540</v>
      </c>
      <c r="AE100"/>
      <c r="AF100"/>
      <c r="AG100"/>
    </row>
    <row r="101" spans="1:33" s="57" customFormat="1" ht="19.899999999999999" customHeight="1" outlineLevel="1" x14ac:dyDescent="0.25">
      <c r="A101" s="1">
        <f>IF(B101&gt;0,SUM(MAX($A$10:A100),1),0)</f>
        <v>52</v>
      </c>
      <c r="B101" s="26">
        <v>13</v>
      </c>
      <c r="C101" s="27" t="s">
        <v>183</v>
      </c>
      <c r="D101" s="26" t="s">
        <v>184</v>
      </c>
      <c r="E101" s="26" t="s">
        <v>175</v>
      </c>
      <c r="F101" s="26">
        <v>1</v>
      </c>
      <c r="G101" s="28">
        <v>1400</v>
      </c>
      <c r="H101" s="29" t="str">
        <f t="shared" si="6"/>
        <v>nhỏ</v>
      </c>
      <c r="I101" s="28">
        <v>80</v>
      </c>
      <c r="J101" s="29"/>
      <c r="K101" s="54"/>
      <c r="L101" s="55"/>
      <c r="M101" s="56"/>
      <c r="N101" s="56"/>
      <c r="O101" s="56"/>
      <c r="P101" s="56"/>
      <c r="Q101" s="55">
        <f t="shared" ref="Q101:Q108" si="9">F101*G101</f>
        <v>1400</v>
      </c>
      <c r="R101" s="56"/>
      <c r="S101" s="56"/>
      <c r="W101" s="59">
        <v>6</v>
      </c>
      <c r="X101" s="59" t="s">
        <v>185</v>
      </c>
      <c r="Y101" s="59"/>
      <c r="Z101" s="59">
        <v>1</v>
      </c>
      <c r="AA101" s="59">
        <v>980</v>
      </c>
      <c r="AB101" s="59"/>
      <c r="AC101" s="59"/>
      <c r="AD101">
        <f t="shared" si="8"/>
        <v>980</v>
      </c>
      <c r="AE101"/>
      <c r="AF101"/>
      <c r="AG101"/>
    </row>
    <row r="102" spans="1:33" s="57" customFormat="1" ht="19.899999999999999" customHeight="1" outlineLevel="1" x14ac:dyDescent="0.25">
      <c r="A102" s="1">
        <f>IF(B102&gt;0,SUM(MAX($A$10:A101),1),0)</f>
        <v>53</v>
      </c>
      <c r="B102" s="26">
        <v>14</v>
      </c>
      <c r="C102" s="27" t="s">
        <v>186</v>
      </c>
      <c r="D102" s="26" t="s">
        <v>184</v>
      </c>
      <c r="E102" s="26" t="s">
        <v>158</v>
      </c>
      <c r="F102" s="26">
        <v>1</v>
      </c>
      <c r="G102" s="28">
        <v>980</v>
      </c>
      <c r="H102" s="29" t="str">
        <f t="shared" si="6"/>
        <v>nhỏ</v>
      </c>
      <c r="I102" s="28">
        <v>60</v>
      </c>
      <c r="J102" s="31"/>
      <c r="K102" s="31" t="s">
        <v>187</v>
      </c>
      <c r="L102" s="55"/>
      <c r="M102" s="56"/>
      <c r="N102" s="56"/>
      <c r="O102" s="56"/>
      <c r="P102" s="56"/>
      <c r="Q102" s="55">
        <f t="shared" si="9"/>
        <v>980</v>
      </c>
      <c r="R102" s="56"/>
      <c r="S102" s="56"/>
      <c r="W102" s="59">
        <v>7</v>
      </c>
      <c r="X102" s="59" t="s">
        <v>188</v>
      </c>
      <c r="Y102" s="59"/>
      <c r="Z102" s="59">
        <v>1</v>
      </c>
      <c r="AA102" s="59">
        <v>980</v>
      </c>
      <c r="AB102" s="59"/>
      <c r="AC102" s="59"/>
      <c r="AD102">
        <f t="shared" si="8"/>
        <v>980</v>
      </c>
      <c r="AE102"/>
      <c r="AF102"/>
      <c r="AG102"/>
    </row>
    <row r="103" spans="1:33" s="57" customFormat="1" ht="19.899999999999999" customHeight="1" outlineLevel="1" x14ac:dyDescent="0.25">
      <c r="A103" s="1">
        <f>IF(B103&gt;0,SUM(MAX($A$10:A102),1),0)</f>
        <v>54</v>
      </c>
      <c r="B103" s="202">
        <v>15</v>
      </c>
      <c r="C103" s="204" t="s">
        <v>189</v>
      </c>
      <c r="D103" s="202" t="s">
        <v>184</v>
      </c>
      <c r="E103" s="202" t="s">
        <v>158</v>
      </c>
      <c r="F103" s="26">
        <v>1</v>
      </c>
      <c r="G103" s="28">
        <v>1200</v>
      </c>
      <c r="H103" s="29" t="str">
        <f t="shared" si="6"/>
        <v>nhỏ</v>
      </c>
      <c r="I103" s="29"/>
      <c r="J103" s="29"/>
      <c r="K103" s="31" t="s">
        <v>190</v>
      </c>
      <c r="L103" s="55"/>
      <c r="M103" s="56"/>
      <c r="N103" s="56"/>
      <c r="O103" s="56"/>
      <c r="P103" s="56"/>
      <c r="Q103" s="55">
        <f>F103*G103+F104*G104</f>
        <v>2180</v>
      </c>
      <c r="R103" s="56"/>
      <c r="S103" s="56"/>
      <c r="W103" s="59" t="s">
        <v>191</v>
      </c>
      <c r="X103" s="59"/>
      <c r="Y103" s="59"/>
      <c r="Z103" s="59"/>
      <c r="AA103" s="59"/>
      <c r="AB103" s="59"/>
      <c r="AC103" s="59"/>
      <c r="AD103"/>
      <c r="AE103"/>
      <c r="AF103"/>
      <c r="AG103"/>
    </row>
    <row r="104" spans="1:33" s="57" customFormat="1" ht="19.899999999999999" customHeight="1" outlineLevel="1" x14ac:dyDescent="0.25">
      <c r="A104" s="1">
        <f>IF(B104&gt;0,SUM(MAX($A$10:A103),1),0)</f>
        <v>0</v>
      </c>
      <c r="B104" s="203"/>
      <c r="C104" s="205"/>
      <c r="D104" s="203"/>
      <c r="E104" s="203"/>
      <c r="F104" s="26">
        <v>1</v>
      </c>
      <c r="G104" s="28">
        <v>980</v>
      </c>
      <c r="H104" s="33"/>
      <c r="I104" s="33"/>
      <c r="J104" s="33"/>
      <c r="K104" s="54"/>
      <c r="L104" s="55"/>
      <c r="M104" s="56"/>
      <c r="N104" s="56"/>
      <c r="O104" s="56"/>
      <c r="P104" s="56"/>
      <c r="Q104" s="55"/>
      <c r="R104" s="56"/>
      <c r="S104" s="56"/>
      <c r="W104" s="59">
        <v>1</v>
      </c>
      <c r="X104" s="59" t="s">
        <v>192</v>
      </c>
      <c r="Y104" s="59"/>
      <c r="Z104" s="59">
        <v>1</v>
      </c>
      <c r="AA104" s="59">
        <v>980</v>
      </c>
      <c r="AB104" s="59"/>
      <c r="AC104" s="59"/>
      <c r="AD104">
        <f t="shared" si="8"/>
        <v>980</v>
      </c>
      <c r="AE104"/>
      <c r="AF104">
        <f>SUM(AD104:AD108)</f>
        <v>10240</v>
      </c>
      <c r="AG104">
        <f>SUM(AD96:AD108)</f>
        <v>18600</v>
      </c>
    </row>
    <row r="105" spans="1:33" s="57" customFormat="1" ht="19.899999999999999" customHeight="1" outlineLevel="1" x14ac:dyDescent="0.25">
      <c r="A105" s="1">
        <f>IF(B105&gt;0,SUM(MAX($A$10:A104),1),0)</f>
        <v>55</v>
      </c>
      <c r="B105" s="26">
        <v>16</v>
      </c>
      <c r="C105" s="27" t="s">
        <v>193</v>
      </c>
      <c r="D105" s="26" t="s">
        <v>184</v>
      </c>
      <c r="E105" s="26" t="s">
        <v>194</v>
      </c>
      <c r="F105" s="26">
        <v>1</v>
      </c>
      <c r="G105" s="28">
        <v>540</v>
      </c>
      <c r="H105" s="29" t="str">
        <f t="shared" si="6"/>
        <v>nhỏ</v>
      </c>
      <c r="I105" s="29"/>
      <c r="J105" s="29"/>
      <c r="K105" s="54"/>
      <c r="L105" s="55"/>
      <c r="M105" s="56"/>
      <c r="N105" s="56"/>
      <c r="O105" s="56"/>
      <c r="P105" s="56"/>
      <c r="Q105" s="55">
        <f t="shared" si="9"/>
        <v>540</v>
      </c>
      <c r="R105" s="56"/>
      <c r="S105" s="56"/>
      <c r="W105" s="59">
        <v>2</v>
      </c>
      <c r="X105" s="59" t="s">
        <v>195</v>
      </c>
      <c r="Y105" s="59"/>
      <c r="Z105" s="59">
        <v>2</v>
      </c>
      <c r="AA105" s="59">
        <v>980</v>
      </c>
      <c r="AB105" s="59"/>
      <c r="AC105" s="59"/>
      <c r="AD105">
        <f t="shared" si="8"/>
        <v>1960</v>
      </c>
      <c r="AE105"/>
      <c r="AF105"/>
      <c r="AG105"/>
    </row>
    <row r="106" spans="1:33" ht="19.899999999999999" customHeight="1" outlineLevel="1" x14ac:dyDescent="0.25">
      <c r="A106" s="1">
        <f>IF(B106&gt;0,SUM(MAX($A$10:A105),1),0)</f>
        <v>56</v>
      </c>
      <c r="B106" s="26">
        <v>17</v>
      </c>
      <c r="C106" s="27" t="s">
        <v>196</v>
      </c>
      <c r="D106" s="26" t="s">
        <v>197</v>
      </c>
      <c r="E106" s="26" t="s">
        <v>37</v>
      </c>
      <c r="F106" s="26">
        <v>5</v>
      </c>
      <c r="G106" s="28">
        <v>4000</v>
      </c>
      <c r="H106" s="29" t="str">
        <f t="shared" si="6"/>
        <v>vừa</v>
      </c>
      <c r="I106" s="28">
        <v>1780</v>
      </c>
      <c r="J106" s="31"/>
      <c r="K106" s="31" t="s">
        <v>198</v>
      </c>
      <c r="L106" s="15"/>
      <c r="M106" s="16"/>
      <c r="N106" s="16"/>
      <c r="O106" s="16"/>
      <c r="P106" s="16"/>
      <c r="Q106" s="55">
        <f t="shared" si="9"/>
        <v>20000</v>
      </c>
      <c r="R106" s="16"/>
      <c r="S106" s="16"/>
      <c r="W106" s="59">
        <v>3</v>
      </c>
      <c r="X106" s="59" t="s">
        <v>199</v>
      </c>
      <c r="Y106" s="59"/>
      <c r="Z106" s="59">
        <v>3</v>
      </c>
      <c r="AA106" s="59">
        <v>800</v>
      </c>
      <c r="AB106" s="59"/>
      <c r="AC106" s="59"/>
      <c r="AD106">
        <f t="shared" si="8"/>
        <v>2400</v>
      </c>
      <c r="AE106"/>
      <c r="AF106"/>
      <c r="AG106"/>
    </row>
    <row r="107" spans="1:33" s="53" customFormat="1" ht="19.899999999999999" customHeight="1" x14ac:dyDescent="0.25">
      <c r="A107" s="1">
        <f>IF(B107&gt;0,SUM(MAX($A$10:A106),1),0)</f>
        <v>0</v>
      </c>
      <c r="B107" s="19"/>
      <c r="C107" s="20" t="s">
        <v>34</v>
      </c>
      <c r="D107" s="19" t="str">
        <f>CONCATENATE(COUNT(B107:B121)," trạm")</f>
        <v>9 trạm</v>
      </c>
      <c r="E107" s="19"/>
      <c r="F107" s="17">
        <f>+SUM(F108:F120)</f>
        <v>35</v>
      </c>
      <c r="G107" s="31"/>
      <c r="H107" s="49"/>
      <c r="I107" s="49"/>
      <c r="J107" s="49"/>
      <c r="K107" s="50"/>
      <c r="L107" s="25">
        <f>COUNTIF(H108:H120,"lớn")</f>
        <v>1</v>
      </c>
      <c r="M107" s="25">
        <f>COUNTIF(H108:H120,"vừa")</f>
        <v>6</v>
      </c>
      <c r="N107" s="25">
        <f>COUNTIF(H108:H120,"nhỏ")</f>
        <v>2</v>
      </c>
      <c r="O107" s="52"/>
      <c r="P107" s="52"/>
      <c r="Q107" s="51">
        <f>SUM(Q108:Q120)+AF104</f>
        <v>137750</v>
      </c>
      <c r="R107" s="52"/>
      <c r="S107" s="52"/>
      <c r="W107" s="59">
        <v>4</v>
      </c>
      <c r="X107" s="59" t="s">
        <v>200</v>
      </c>
      <c r="Y107" s="59"/>
      <c r="Z107" s="59">
        <v>2</v>
      </c>
      <c r="AA107" s="59">
        <v>980</v>
      </c>
      <c r="AB107" s="59"/>
      <c r="AC107" s="59"/>
      <c r="AD107">
        <f t="shared" si="8"/>
        <v>1960</v>
      </c>
      <c r="AE107"/>
      <c r="AF107"/>
      <c r="AG107"/>
    </row>
    <row r="108" spans="1:33" ht="19.899999999999999" customHeight="1" outlineLevel="1" x14ac:dyDescent="0.25">
      <c r="A108" s="1">
        <f>IF(B108&gt;0,SUM(MAX($A$10:A107),1),0)</f>
        <v>57</v>
      </c>
      <c r="B108" s="26">
        <v>18</v>
      </c>
      <c r="C108" s="27" t="s">
        <v>201</v>
      </c>
      <c r="D108" s="26" t="s">
        <v>152</v>
      </c>
      <c r="E108" s="26" t="s">
        <v>202</v>
      </c>
      <c r="F108" s="26">
        <v>4</v>
      </c>
      <c r="G108" s="28">
        <v>980</v>
      </c>
      <c r="H108" s="29" t="str">
        <f t="shared" si="6"/>
        <v>vừa</v>
      </c>
      <c r="I108" s="29"/>
      <c r="J108" s="43">
        <v>168</v>
      </c>
      <c r="K108" s="30"/>
      <c r="L108" s="15"/>
      <c r="M108" s="16"/>
      <c r="N108" s="16"/>
      <c r="O108" s="16"/>
      <c r="P108" s="16"/>
      <c r="Q108" s="55">
        <f t="shared" si="9"/>
        <v>3920</v>
      </c>
      <c r="R108" s="16"/>
      <c r="S108" s="16"/>
      <c r="W108" s="59">
        <v>5</v>
      </c>
      <c r="X108" s="59" t="s">
        <v>203</v>
      </c>
      <c r="Y108" s="59"/>
      <c r="Z108" s="59">
        <v>3</v>
      </c>
      <c r="AA108" s="59">
        <v>980</v>
      </c>
      <c r="AB108" s="59"/>
      <c r="AC108" s="59"/>
      <c r="AD108">
        <f t="shared" si="8"/>
        <v>2940</v>
      </c>
      <c r="AE108"/>
      <c r="AF108"/>
      <c r="AG108"/>
    </row>
    <row r="109" spans="1:33" ht="19.899999999999999" customHeight="1" outlineLevel="1" x14ac:dyDescent="0.25">
      <c r="A109" s="1">
        <f>IF(B109&gt;0,SUM(MAX($A$10:A108),1),0)</f>
        <v>58</v>
      </c>
      <c r="B109" s="202">
        <v>19</v>
      </c>
      <c r="C109" s="204" t="s">
        <v>204</v>
      </c>
      <c r="D109" s="202" t="s">
        <v>152</v>
      </c>
      <c r="E109" s="202" t="s">
        <v>26</v>
      </c>
      <c r="F109" s="26">
        <v>7</v>
      </c>
      <c r="G109" s="28">
        <v>1950</v>
      </c>
      <c r="H109" s="208" t="str">
        <f t="shared" si="6"/>
        <v>vừa</v>
      </c>
      <c r="I109" s="208"/>
      <c r="J109" s="212">
        <v>720</v>
      </c>
      <c r="K109" s="200" t="s">
        <v>205</v>
      </c>
      <c r="L109" s="15"/>
      <c r="M109" s="16"/>
      <c r="N109" s="16"/>
      <c r="O109" s="16"/>
      <c r="P109" s="16"/>
      <c r="Q109" s="55">
        <f>F109*G109+F110*G110</f>
        <v>15250</v>
      </c>
      <c r="R109" s="16"/>
      <c r="S109" s="16"/>
    </row>
    <row r="110" spans="1:33" ht="19.899999999999999" customHeight="1" outlineLevel="1" x14ac:dyDescent="0.25">
      <c r="A110" s="1">
        <f>IF(B110&gt;0,SUM(MAX($A$10:A109),1),0)</f>
        <v>0</v>
      </c>
      <c r="B110" s="203"/>
      <c r="C110" s="205"/>
      <c r="D110" s="203"/>
      <c r="E110" s="203"/>
      <c r="F110" s="26">
        <v>2</v>
      </c>
      <c r="G110" s="28">
        <v>800</v>
      </c>
      <c r="H110" s="209"/>
      <c r="I110" s="209"/>
      <c r="J110" s="213"/>
      <c r="K110" s="201"/>
      <c r="L110" s="15"/>
      <c r="M110" s="16"/>
      <c r="N110" s="16"/>
      <c r="O110" s="16"/>
      <c r="P110" s="16"/>
      <c r="Q110" s="15"/>
      <c r="R110" s="16"/>
      <c r="S110" s="16"/>
    </row>
    <row r="111" spans="1:33" ht="19.899999999999999" customHeight="1" outlineLevel="1" x14ac:dyDescent="0.25">
      <c r="A111" s="1">
        <f>IF(B111&gt;0,SUM(MAX($A$10:A110),1),0)</f>
        <v>59</v>
      </c>
      <c r="B111" s="202">
        <v>20</v>
      </c>
      <c r="C111" s="204" t="s">
        <v>206</v>
      </c>
      <c r="D111" s="202" t="s">
        <v>207</v>
      </c>
      <c r="E111" s="202" t="s">
        <v>202</v>
      </c>
      <c r="F111" s="26">
        <v>2</v>
      </c>
      <c r="G111" s="28">
        <v>980</v>
      </c>
      <c r="H111" s="208" t="str">
        <f t="shared" si="6"/>
        <v>vừa</v>
      </c>
      <c r="I111" s="208"/>
      <c r="J111" s="208"/>
      <c r="K111" s="206"/>
      <c r="L111" s="15"/>
      <c r="M111" s="16"/>
      <c r="N111" s="16"/>
      <c r="O111" s="16"/>
      <c r="P111" s="16"/>
      <c r="Q111" s="55">
        <f>F111*G111+F112*G112</f>
        <v>4200</v>
      </c>
      <c r="R111" s="16"/>
      <c r="S111" s="16"/>
    </row>
    <row r="112" spans="1:33" ht="19.899999999999999" customHeight="1" outlineLevel="1" x14ac:dyDescent="0.25">
      <c r="A112" s="1">
        <f>IF(B112&gt;0,SUM(MAX($A$10:A111),1),0)</f>
        <v>0</v>
      </c>
      <c r="B112" s="203"/>
      <c r="C112" s="205"/>
      <c r="D112" s="203"/>
      <c r="E112" s="203"/>
      <c r="F112" s="26">
        <v>2</v>
      </c>
      <c r="G112" s="28">
        <v>1120</v>
      </c>
      <c r="H112" s="209"/>
      <c r="I112" s="209"/>
      <c r="J112" s="209"/>
      <c r="K112" s="207"/>
      <c r="L112" s="15"/>
      <c r="M112" s="16"/>
      <c r="N112" s="16"/>
      <c r="O112" s="16"/>
      <c r="P112" s="16"/>
      <c r="Q112" s="15"/>
      <c r="R112" s="16"/>
      <c r="S112" s="16"/>
    </row>
    <row r="113" spans="1:19" ht="19.899999999999999" customHeight="1" outlineLevel="1" x14ac:dyDescent="0.25">
      <c r="A113" s="1">
        <f>IF(B113&gt;0,SUM(MAX($A$10:A112),1),0)</f>
        <v>60</v>
      </c>
      <c r="B113" s="202">
        <v>21</v>
      </c>
      <c r="C113" s="204" t="s">
        <v>208</v>
      </c>
      <c r="D113" s="202" t="s">
        <v>207</v>
      </c>
      <c r="E113" s="202" t="s">
        <v>202</v>
      </c>
      <c r="F113" s="26">
        <v>2</v>
      </c>
      <c r="G113" s="28">
        <v>980</v>
      </c>
      <c r="H113" s="208" t="str">
        <f t="shared" si="6"/>
        <v>nhỏ</v>
      </c>
      <c r="I113" s="208"/>
      <c r="J113" s="208"/>
      <c r="K113" s="206"/>
      <c r="L113" s="15"/>
      <c r="M113" s="16"/>
      <c r="N113" s="16"/>
      <c r="O113" s="16"/>
      <c r="P113" s="16"/>
      <c r="Q113" s="55">
        <f>F113*G113+F114*G114</f>
        <v>3160</v>
      </c>
      <c r="R113" s="16"/>
      <c r="S113" s="16"/>
    </row>
    <row r="114" spans="1:19" outlineLevel="1" x14ac:dyDescent="0.25">
      <c r="A114" s="1">
        <f>IF(B114&gt;0,SUM(MAX($A$10:A113),1),0)</f>
        <v>0</v>
      </c>
      <c r="B114" s="203"/>
      <c r="C114" s="205"/>
      <c r="D114" s="203"/>
      <c r="E114" s="203"/>
      <c r="F114" s="26">
        <v>1</v>
      </c>
      <c r="G114" s="28">
        <v>1200</v>
      </c>
      <c r="H114" s="209"/>
      <c r="I114" s="209"/>
      <c r="J114" s="209"/>
      <c r="K114" s="207"/>
      <c r="L114" s="15"/>
      <c r="M114" s="16"/>
      <c r="N114" s="16"/>
      <c r="O114" s="16"/>
      <c r="P114" s="16"/>
      <c r="Q114" s="15"/>
      <c r="R114" s="16"/>
      <c r="S114" s="16"/>
    </row>
    <row r="115" spans="1:19" ht="19.899999999999999" customHeight="1" outlineLevel="1" x14ac:dyDescent="0.25">
      <c r="A115" s="1">
        <f>IF(B115&gt;0,SUM(MAX($A$10:A114),1),0)</f>
        <v>61</v>
      </c>
      <c r="B115" s="26">
        <v>22</v>
      </c>
      <c r="C115" s="27" t="s">
        <v>209</v>
      </c>
      <c r="D115" s="26" t="s">
        <v>210</v>
      </c>
      <c r="E115" s="26" t="s">
        <v>83</v>
      </c>
      <c r="F115" s="26">
        <v>3</v>
      </c>
      <c r="G115" s="28">
        <v>1400</v>
      </c>
      <c r="H115" s="29" t="str">
        <f t="shared" si="6"/>
        <v>vừa</v>
      </c>
      <c r="I115" s="29"/>
      <c r="J115" s="43">
        <v>100</v>
      </c>
      <c r="K115" s="30"/>
      <c r="L115" s="15"/>
      <c r="M115" s="16"/>
      <c r="N115" s="16"/>
      <c r="O115" s="16"/>
      <c r="P115" s="16"/>
      <c r="Q115" s="15">
        <f>F115*G115</f>
        <v>4200</v>
      </c>
      <c r="R115" s="16"/>
      <c r="S115" s="16"/>
    </row>
    <row r="116" spans="1:19" ht="19.899999999999999" customHeight="1" outlineLevel="1" x14ac:dyDescent="0.25">
      <c r="A116" s="1">
        <f>IF(B116&gt;0,SUM(MAX($A$10:A115),1),0)</f>
        <v>62</v>
      </c>
      <c r="B116" s="26">
        <v>23</v>
      </c>
      <c r="C116" s="27" t="s">
        <v>211</v>
      </c>
      <c r="D116" s="26" t="s">
        <v>157</v>
      </c>
      <c r="E116" s="26" t="s">
        <v>158</v>
      </c>
      <c r="F116" s="26">
        <v>3</v>
      </c>
      <c r="G116" s="28">
        <v>1200</v>
      </c>
      <c r="H116" s="29" t="str">
        <f t="shared" si="6"/>
        <v>vừa</v>
      </c>
      <c r="I116" s="29"/>
      <c r="J116" s="43">
        <v>84</v>
      </c>
      <c r="K116" s="31" t="s">
        <v>212</v>
      </c>
      <c r="L116" s="15"/>
      <c r="M116" s="16"/>
      <c r="N116" s="16"/>
      <c r="O116" s="16"/>
      <c r="P116" s="16"/>
      <c r="Q116" s="15">
        <f>F116*G116</f>
        <v>3600</v>
      </c>
      <c r="R116" s="16"/>
      <c r="S116" s="16"/>
    </row>
    <row r="117" spans="1:19" ht="19.899999999999999" customHeight="1" outlineLevel="1" x14ac:dyDescent="0.25">
      <c r="A117" s="1">
        <f>IF(B117&gt;0,SUM(MAX($A$10:A116),1),0)</f>
        <v>63</v>
      </c>
      <c r="B117" s="26">
        <v>24</v>
      </c>
      <c r="C117" s="27" t="s">
        <v>213</v>
      </c>
      <c r="D117" s="26" t="s">
        <v>213</v>
      </c>
      <c r="E117" s="26" t="s">
        <v>37</v>
      </c>
      <c r="F117" s="26">
        <v>3</v>
      </c>
      <c r="G117" s="28">
        <v>25000</v>
      </c>
      <c r="H117" s="29" t="str">
        <f t="shared" si="6"/>
        <v>lớn</v>
      </c>
      <c r="I117" s="29"/>
      <c r="J117" s="43">
        <v>4200</v>
      </c>
      <c r="K117" s="31" t="s">
        <v>214</v>
      </c>
      <c r="L117" s="15"/>
      <c r="M117" s="16"/>
      <c r="N117" s="16"/>
      <c r="O117" s="16"/>
      <c r="P117" s="16"/>
      <c r="Q117" s="15">
        <f>F117*G117</f>
        <v>75000</v>
      </c>
      <c r="R117" s="16"/>
      <c r="S117" s="16"/>
    </row>
    <row r="118" spans="1:19" ht="19.899999999999999" customHeight="1" outlineLevel="1" x14ac:dyDescent="0.25">
      <c r="A118" s="1">
        <f>IF(B118&gt;0,SUM(MAX($A$10:A117),1),0)</f>
        <v>64</v>
      </c>
      <c r="B118" s="26">
        <v>25</v>
      </c>
      <c r="C118" s="27" t="s">
        <v>215</v>
      </c>
      <c r="D118" s="26" t="s">
        <v>174</v>
      </c>
      <c r="E118" s="26" t="s">
        <v>158</v>
      </c>
      <c r="F118" s="26">
        <v>4</v>
      </c>
      <c r="G118" s="28">
        <v>4000</v>
      </c>
      <c r="H118" s="29" t="str">
        <f t="shared" si="6"/>
        <v>vừa</v>
      </c>
      <c r="I118" s="29"/>
      <c r="J118" s="28">
        <v>1750</v>
      </c>
      <c r="K118" s="31" t="s">
        <v>181</v>
      </c>
      <c r="L118" s="15"/>
      <c r="M118" s="16"/>
      <c r="N118" s="16"/>
      <c r="O118" s="16"/>
      <c r="P118" s="16"/>
      <c r="Q118" s="15">
        <f>F118*G118</f>
        <v>16000</v>
      </c>
      <c r="R118" s="16"/>
      <c r="S118" s="16"/>
    </row>
    <row r="119" spans="1:19" ht="19.899999999999999" customHeight="1" outlineLevel="1" x14ac:dyDescent="0.25">
      <c r="A119" s="1">
        <f>IF(B119&gt;0,SUM(MAX($A$10:A118),1),0)</f>
        <v>65</v>
      </c>
      <c r="B119" s="202">
        <v>26</v>
      </c>
      <c r="C119" s="204" t="s">
        <v>216</v>
      </c>
      <c r="D119" s="202" t="s">
        <v>184</v>
      </c>
      <c r="E119" s="202" t="s">
        <v>217</v>
      </c>
      <c r="F119" s="26">
        <v>1</v>
      </c>
      <c r="G119" s="28">
        <v>1200</v>
      </c>
      <c r="H119" s="208" t="str">
        <f t="shared" si="6"/>
        <v>nhỏ</v>
      </c>
      <c r="I119" s="29"/>
      <c r="J119" s="29"/>
      <c r="K119" s="30"/>
      <c r="L119" s="15"/>
      <c r="M119" s="16"/>
      <c r="N119" s="16"/>
      <c r="O119" s="16"/>
      <c r="P119" s="16"/>
      <c r="Q119" s="15">
        <f>F119*G119+F120*G120</f>
        <v>2180</v>
      </c>
      <c r="R119" s="16"/>
      <c r="S119" s="16"/>
    </row>
    <row r="120" spans="1:19" ht="19.899999999999999" customHeight="1" outlineLevel="1" x14ac:dyDescent="0.25">
      <c r="A120" s="1">
        <f>IF(B120&gt;0,SUM(MAX($A$10:A119),1),0)</f>
        <v>0</v>
      </c>
      <c r="B120" s="203"/>
      <c r="C120" s="205"/>
      <c r="D120" s="203"/>
      <c r="E120" s="203"/>
      <c r="F120" s="26">
        <v>1</v>
      </c>
      <c r="G120" s="28">
        <v>980</v>
      </c>
      <c r="H120" s="209"/>
      <c r="I120" s="29"/>
      <c r="J120" s="29"/>
      <c r="K120" s="30"/>
      <c r="L120" s="15"/>
      <c r="M120" s="16"/>
      <c r="N120" s="16"/>
      <c r="O120" s="16"/>
      <c r="P120" s="16"/>
      <c r="Q120" s="15"/>
      <c r="R120" s="16"/>
      <c r="S120" s="16"/>
    </row>
    <row r="121" spans="1:19" s="53" customFormat="1" ht="19.899999999999999" customHeight="1" x14ac:dyDescent="0.25">
      <c r="A121" s="1">
        <f>IF(B121&gt;0,SUM(MAX($A$10:A120),1),0)</f>
        <v>0</v>
      </c>
      <c r="B121" s="19"/>
      <c r="C121" s="20" t="s">
        <v>112</v>
      </c>
      <c r="D121" s="19" t="str">
        <f>CONCATENATE(COUNT(B121:B226)," trạm")</f>
        <v>70 trạm</v>
      </c>
      <c r="E121" s="19"/>
      <c r="F121" s="17">
        <f>+SUM(F122:F226)</f>
        <v>336</v>
      </c>
      <c r="G121" s="31"/>
      <c r="H121" s="49"/>
      <c r="I121" s="49"/>
      <c r="J121" s="49"/>
      <c r="K121" s="50"/>
      <c r="L121" s="25">
        <f>COUNTIF(H122:H226,"lớn")</f>
        <v>1</v>
      </c>
      <c r="M121" s="25">
        <f>COUNTIF(H122:H226,"vừa")</f>
        <v>49</v>
      </c>
      <c r="N121" s="25">
        <f>COUNTIF(H122:H226,"nhỏ")</f>
        <v>20</v>
      </c>
      <c r="O121" s="52"/>
      <c r="P121" s="52"/>
      <c r="Q121" s="51">
        <f>SUM(Q122:Q226)</f>
        <v>602620</v>
      </c>
      <c r="R121" s="52"/>
      <c r="S121" s="52"/>
    </row>
    <row r="122" spans="1:19" s="57" customFormat="1" ht="19.899999999999999" customHeight="1" outlineLevel="1" x14ac:dyDescent="0.25">
      <c r="A122" s="1">
        <f>IF(B122&gt;0,SUM(MAX($A$10:A121),1),0)</f>
        <v>66</v>
      </c>
      <c r="B122" s="26">
        <v>27</v>
      </c>
      <c r="C122" s="27" t="s">
        <v>148</v>
      </c>
      <c r="D122" s="26" t="s">
        <v>148</v>
      </c>
      <c r="E122" s="26" t="s">
        <v>26</v>
      </c>
      <c r="F122" s="26">
        <v>7</v>
      </c>
      <c r="G122" s="28">
        <v>980</v>
      </c>
      <c r="H122" s="29" t="str">
        <f t="shared" si="6"/>
        <v>vừa</v>
      </c>
      <c r="I122" s="28">
        <v>230</v>
      </c>
      <c r="J122" s="28">
        <v>230</v>
      </c>
      <c r="K122" s="31" t="s">
        <v>218</v>
      </c>
      <c r="L122" s="55"/>
      <c r="M122" s="56"/>
      <c r="N122" s="56"/>
      <c r="O122" s="56"/>
      <c r="P122" s="56"/>
      <c r="Q122" s="55">
        <f>F122*G122</f>
        <v>6860</v>
      </c>
      <c r="R122" s="56"/>
      <c r="S122" s="56"/>
    </row>
    <row r="123" spans="1:19" s="57" customFormat="1" ht="19.899999999999999" customHeight="1" outlineLevel="1" x14ac:dyDescent="0.25">
      <c r="A123" s="1">
        <f>IF(B123&gt;0,SUM(MAX($A$10:A122),1),0)</f>
        <v>67</v>
      </c>
      <c r="B123" s="26">
        <v>28</v>
      </c>
      <c r="C123" s="27" t="s">
        <v>219</v>
      </c>
      <c r="D123" s="26" t="s">
        <v>148</v>
      </c>
      <c r="E123" s="26" t="s">
        <v>26</v>
      </c>
      <c r="F123" s="26">
        <v>7</v>
      </c>
      <c r="G123" s="28">
        <v>980</v>
      </c>
      <c r="H123" s="29" t="str">
        <f t="shared" si="6"/>
        <v>vừa</v>
      </c>
      <c r="I123" s="28">
        <v>200</v>
      </c>
      <c r="J123" s="28">
        <v>200</v>
      </c>
      <c r="K123" s="31" t="s">
        <v>220</v>
      </c>
      <c r="L123" s="55"/>
      <c r="M123" s="56"/>
      <c r="N123" s="56"/>
      <c r="O123" s="56"/>
      <c r="P123" s="56"/>
      <c r="Q123" s="55">
        <f>F123*G123</f>
        <v>6860</v>
      </c>
      <c r="R123" s="56"/>
      <c r="S123" s="56"/>
    </row>
    <row r="124" spans="1:19" s="57" customFormat="1" ht="19.899999999999999" customHeight="1" outlineLevel="1" x14ac:dyDescent="0.25">
      <c r="A124" s="1">
        <f>IF(B124&gt;0,SUM(MAX($A$10:A123),1),0)</f>
        <v>68</v>
      </c>
      <c r="B124" s="26">
        <v>29</v>
      </c>
      <c r="C124" s="27" t="s">
        <v>221</v>
      </c>
      <c r="D124" s="26" t="s">
        <v>152</v>
      </c>
      <c r="E124" s="26" t="s">
        <v>26</v>
      </c>
      <c r="F124" s="26">
        <v>4</v>
      </c>
      <c r="G124" s="28">
        <v>4000</v>
      </c>
      <c r="H124" s="29" t="str">
        <f t="shared" si="6"/>
        <v>vừa</v>
      </c>
      <c r="I124" s="28">
        <v>400</v>
      </c>
      <c r="J124" s="28">
        <v>575</v>
      </c>
      <c r="K124" s="31" t="s">
        <v>222</v>
      </c>
      <c r="L124" s="55"/>
      <c r="M124" s="56"/>
      <c r="N124" s="56"/>
      <c r="O124" s="56"/>
      <c r="P124" s="56"/>
      <c r="Q124" s="55">
        <f>F124*G124</f>
        <v>16000</v>
      </c>
      <c r="R124" s="56"/>
      <c r="S124" s="56"/>
    </row>
    <row r="125" spans="1:19" s="57" customFormat="1" ht="19.899999999999999" customHeight="1" outlineLevel="1" x14ac:dyDescent="0.25">
      <c r="A125" s="1">
        <f>IF(B125&gt;0,SUM(MAX($A$10:A124),1),0)</f>
        <v>69</v>
      </c>
      <c r="B125" s="202">
        <v>30</v>
      </c>
      <c r="C125" s="204" t="s">
        <v>223</v>
      </c>
      <c r="D125" s="202" t="s">
        <v>207</v>
      </c>
      <c r="E125" s="202" t="s">
        <v>224</v>
      </c>
      <c r="F125" s="26">
        <v>3</v>
      </c>
      <c r="G125" s="28">
        <v>980</v>
      </c>
      <c r="H125" s="29" t="str">
        <f t="shared" si="6"/>
        <v>vừa</v>
      </c>
      <c r="I125" s="212">
        <v>150</v>
      </c>
      <c r="J125" s="212">
        <v>150</v>
      </c>
      <c r="K125" s="212" t="s">
        <v>225</v>
      </c>
      <c r="L125" s="55"/>
      <c r="M125" s="56"/>
      <c r="N125" s="56"/>
      <c r="O125" s="56"/>
      <c r="P125" s="56"/>
      <c r="Q125" s="55">
        <f>F125*G125+F126*G126</f>
        <v>3940</v>
      </c>
      <c r="R125" s="56"/>
      <c r="S125" s="56"/>
    </row>
    <row r="126" spans="1:19" s="57" customFormat="1" ht="19.899999999999999" customHeight="1" outlineLevel="1" x14ac:dyDescent="0.25">
      <c r="A126" s="1">
        <f>IF(B126&gt;0,SUM(MAX($A$10:A125),1),0)</f>
        <v>0</v>
      </c>
      <c r="B126" s="203"/>
      <c r="C126" s="205"/>
      <c r="D126" s="203"/>
      <c r="E126" s="203"/>
      <c r="F126" s="26">
        <v>1</v>
      </c>
      <c r="G126" s="28">
        <v>1000</v>
      </c>
      <c r="H126" s="29"/>
      <c r="I126" s="213"/>
      <c r="J126" s="213"/>
      <c r="K126" s="213"/>
      <c r="L126" s="55"/>
      <c r="M126" s="56"/>
      <c r="N126" s="56"/>
      <c r="O126" s="56"/>
      <c r="P126" s="56"/>
      <c r="Q126" s="55"/>
      <c r="R126" s="56"/>
      <c r="S126" s="56"/>
    </row>
    <row r="127" spans="1:19" s="57" customFormat="1" ht="19.899999999999999" customHeight="1" outlineLevel="1" x14ac:dyDescent="0.25">
      <c r="A127" s="1">
        <f>IF(B127&gt;0,SUM(MAX($A$10:A126),1),0)</f>
        <v>70</v>
      </c>
      <c r="B127" s="202">
        <v>31</v>
      </c>
      <c r="C127" s="204" t="s">
        <v>207</v>
      </c>
      <c r="D127" s="202" t="s">
        <v>207</v>
      </c>
      <c r="E127" s="202" t="s">
        <v>224</v>
      </c>
      <c r="F127" s="26">
        <v>5</v>
      </c>
      <c r="G127" s="28">
        <v>960</v>
      </c>
      <c r="H127" s="208" t="str">
        <f t="shared" si="6"/>
        <v>vừa</v>
      </c>
      <c r="I127" s="212">
        <v>350</v>
      </c>
      <c r="J127" s="212">
        <v>350</v>
      </c>
      <c r="K127" s="212" t="s">
        <v>226</v>
      </c>
      <c r="L127" s="55"/>
      <c r="M127" s="56"/>
      <c r="N127" s="56"/>
      <c r="O127" s="56"/>
      <c r="P127" s="56"/>
      <c r="Q127" s="55">
        <f>F127*G127+F128*G128+F129*G129</f>
        <v>10200</v>
      </c>
      <c r="R127" s="56"/>
      <c r="S127" s="56"/>
    </row>
    <row r="128" spans="1:19" s="57" customFormat="1" ht="19.899999999999999" customHeight="1" outlineLevel="1" x14ac:dyDescent="0.25">
      <c r="A128" s="1">
        <f>IF(B128&gt;0,SUM(MAX($A$10:A127),1),0)</f>
        <v>0</v>
      </c>
      <c r="B128" s="210"/>
      <c r="C128" s="205"/>
      <c r="D128" s="203"/>
      <c r="E128" s="203"/>
      <c r="F128" s="26">
        <v>5</v>
      </c>
      <c r="G128" s="28">
        <v>800</v>
      </c>
      <c r="H128" s="211"/>
      <c r="I128" s="213"/>
      <c r="J128" s="213"/>
      <c r="K128" s="218"/>
      <c r="L128" s="55"/>
      <c r="M128" s="56"/>
      <c r="N128" s="56"/>
      <c r="O128" s="56"/>
      <c r="P128" s="56"/>
      <c r="Q128" s="55"/>
      <c r="R128" s="56"/>
      <c r="S128" s="56"/>
    </row>
    <row r="129" spans="1:19" s="57" customFormat="1" ht="19.899999999999999" customHeight="1" outlineLevel="1" x14ac:dyDescent="0.25">
      <c r="A129" s="1">
        <f>IF(B129&gt;0,SUM(MAX($A$10:A128),1),0)</f>
        <v>0</v>
      </c>
      <c r="B129" s="203"/>
      <c r="C129" s="27" t="s">
        <v>227</v>
      </c>
      <c r="D129" s="26"/>
      <c r="E129" s="26"/>
      <c r="F129" s="26">
        <v>1</v>
      </c>
      <c r="G129" s="28">
        <v>1400</v>
      </c>
      <c r="H129" s="209"/>
      <c r="I129" s="29"/>
      <c r="J129" s="29"/>
      <c r="K129" s="213"/>
      <c r="L129" s="55"/>
      <c r="M129" s="56"/>
      <c r="N129" s="56"/>
      <c r="O129" s="56"/>
      <c r="P129" s="56"/>
      <c r="Q129" s="55"/>
      <c r="R129" s="56"/>
      <c r="S129" s="56"/>
    </row>
    <row r="130" spans="1:19" s="57" customFormat="1" ht="19.899999999999999" customHeight="1" outlineLevel="1" x14ac:dyDescent="0.25">
      <c r="A130" s="1">
        <f>IF(B130&gt;0,SUM(MAX($A$10:A129),1),0)</f>
        <v>71</v>
      </c>
      <c r="B130" s="26">
        <v>32</v>
      </c>
      <c r="C130" s="27" t="s">
        <v>228</v>
      </c>
      <c r="D130" s="26" t="s">
        <v>229</v>
      </c>
      <c r="E130" s="26" t="s">
        <v>224</v>
      </c>
      <c r="F130" s="26">
        <v>3</v>
      </c>
      <c r="G130" s="28">
        <v>980</v>
      </c>
      <c r="H130" s="29" t="str">
        <f t="shared" si="6"/>
        <v>nhỏ</v>
      </c>
      <c r="I130" s="28">
        <v>130</v>
      </c>
      <c r="J130" s="28">
        <v>130</v>
      </c>
      <c r="K130" s="31" t="s">
        <v>230</v>
      </c>
      <c r="L130" s="55"/>
      <c r="M130" s="56"/>
      <c r="N130" s="56"/>
      <c r="O130" s="56"/>
      <c r="P130" s="56"/>
      <c r="Q130" s="55">
        <f>F130*G130</f>
        <v>2940</v>
      </c>
      <c r="R130" s="56"/>
      <c r="S130" s="56"/>
    </row>
    <row r="131" spans="1:19" s="57" customFormat="1" ht="19.899999999999999" customHeight="1" outlineLevel="1" x14ac:dyDescent="0.25">
      <c r="A131" s="1">
        <f>IF(B131&gt;0,SUM(MAX($A$10:A130),1),0)</f>
        <v>72</v>
      </c>
      <c r="B131" s="202">
        <v>33</v>
      </c>
      <c r="C131" s="27" t="s">
        <v>231</v>
      </c>
      <c r="D131" s="202" t="s">
        <v>229</v>
      </c>
      <c r="E131" s="26" t="s">
        <v>224</v>
      </c>
      <c r="F131" s="26">
        <v>4</v>
      </c>
      <c r="G131" s="28">
        <v>980</v>
      </c>
      <c r="H131" s="208" t="str">
        <f t="shared" si="6"/>
        <v>vừa</v>
      </c>
      <c r="I131" s="28">
        <v>165</v>
      </c>
      <c r="J131" s="28">
        <v>165</v>
      </c>
      <c r="K131" s="200" t="s">
        <v>232</v>
      </c>
      <c r="L131" s="55"/>
      <c r="M131" s="56"/>
      <c r="N131" s="56"/>
      <c r="O131" s="56"/>
      <c r="P131" s="56"/>
      <c r="Q131" s="55">
        <f>F131*G131+F132*G132</f>
        <v>5320</v>
      </c>
      <c r="R131" s="56"/>
      <c r="S131" s="56"/>
    </row>
    <row r="132" spans="1:19" s="57" customFormat="1" ht="19.899999999999999" customHeight="1" outlineLevel="1" x14ac:dyDescent="0.25">
      <c r="A132" s="1">
        <f>IF(B132&gt;0,SUM(MAX($A$10:A131),1),0)</f>
        <v>0</v>
      </c>
      <c r="B132" s="203"/>
      <c r="C132" s="27" t="s">
        <v>233</v>
      </c>
      <c r="D132" s="203"/>
      <c r="E132" s="26"/>
      <c r="F132" s="26">
        <v>1</v>
      </c>
      <c r="G132" s="28">
        <v>1400</v>
      </c>
      <c r="H132" s="209"/>
      <c r="I132" s="29"/>
      <c r="J132" s="29"/>
      <c r="K132" s="201"/>
      <c r="L132" s="55"/>
      <c r="M132" s="56"/>
      <c r="N132" s="56"/>
      <c r="O132" s="56"/>
      <c r="P132" s="56"/>
      <c r="Q132" s="55"/>
      <c r="R132" s="56"/>
      <c r="S132" s="56"/>
    </row>
    <row r="133" spans="1:19" s="57" customFormat="1" outlineLevel="1" x14ac:dyDescent="0.25">
      <c r="A133" s="1">
        <f>IF(B133&gt;0,SUM(MAX($A$10:A132),1),0)</f>
        <v>73</v>
      </c>
      <c r="B133" s="202">
        <v>34</v>
      </c>
      <c r="C133" s="204" t="s">
        <v>234</v>
      </c>
      <c r="D133" s="202" t="s">
        <v>229</v>
      </c>
      <c r="E133" s="202" t="s">
        <v>26</v>
      </c>
      <c r="F133" s="26">
        <v>1</v>
      </c>
      <c r="G133" s="28">
        <v>1200</v>
      </c>
      <c r="H133" s="208" t="str">
        <f t="shared" si="6"/>
        <v>vừa</v>
      </c>
      <c r="I133" s="212">
        <v>150</v>
      </c>
      <c r="J133" s="212">
        <v>150</v>
      </c>
      <c r="K133" s="200" t="s">
        <v>235</v>
      </c>
      <c r="L133" s="55"/>
      <c r="M133" s="56"/>
      <c r="N133" s="56"/>
      <c r="O133" s="56"/>
      <c r="P133" s="56"/>
      <c r="Q133" s="55">
        <f>F133*G133+F134*G134+F135*G135</f>
        <v>8400</v>
      </c>
      <c r="R133" s="56"/>
      <c r="S133" s="56"/>
    </row>
    <row r="134" spans="1:19" s="57" customFormat="1" outlineLevel="1" x14ac:dyDescent="0.25">
      <c r="A134" s="1">
        <f>IF(B134&gt;0,SUM(MAX($A$10:A133),1),0)</f>
        <v>0</v>
      </c>
      <c r="B134" s="210"/>
      <c r="C134" s="205"/>
      <c r="D134" s="210"/>
      <c r="E134" s="210"/>
      <c r="F134" s="26">
        <v>3</v>
      </c>
      <c r="G134" s="28">
        <v>2000</v>
      </c>
      <c r="H134" s="211"/>
      <c r="I134" s="213"/>
      <c r="J134" s="213"/>
      <c r="K134" s="216"/>
      <c r="L134" s="55"/>
      <c r="M134" s="56"/>
      <c r="N134" s="56"/>
      <c r="O134" s="56"/>
      <c r="P134" s="56"/>
      <c r="Q134" s="55"/>
      <c r="R134" s="56"/>
      <c r="S134" s="56"/>
    </row>
    <row r="135" spans="1:19" s="57" customFormat="1" ht="19.899999999999999" customHeight="1" outlineLevel="1" x14ac:dyDescent="0.25">
      <c r="A135" s="1">
        <f>IF(B135&gt;0,SUM(MAX($A$10:A134),1),0)</f>
        <v>0</v>
      </c>
      <c r="B135" s="203"/>
      <c r="C135" s="27" t="s">
        <v>236</v>
      </c>
      <c r="D135" s="203"/>
      <c r="E135" s="203"/>
      <c r="F135" s="26">
        <v>1</v>
      </c>
      <c r="G135" s="28">
        <v>1200</v>
      </c>
      <c r="H135" s="209"/>
      <c r="I135" s="29"/>
      <c r="J135" s="29"/>
      <c r="K135" s="201"/>
      <c r="L135" s="55"/>
      <c r="M135" s="56"/>
      <c r="N135" s="56"/>
      <c r="O135" s="56"/>
      <c r="P135" s="56"/>
      <c r="Q135" s="55"/>
      <c r="R135" s="56"/>
      <c r="S135" s="56"/>
    </row>
    <row r="136" spans="1:19" s="57" customFormat="1" ht="19.899999999999999" customHeight="1" outlineLevel="1" x14ac:dyDescent="0.25">
      <c r="A136" s="1">
        <f>IF(B136&gt;0,SUM(MAX($A$10:A135),1),0)</f>
        <v>74</v>
      </c>
      <c r="B136" s="202">
        <v>35</v>
      </c>
      <c r="C136" s="27" t="s">
        <v>237</v>
      </c>
      <c r="D136" s="202" t="s">
        <v>237</v>
      </c>
      <c r="E136" s="202" t="s">
        <v>139</v>
      </c>
      <c r="F136" s="26">
        <v>3</v>
      </c>
      <c r="G136" s="28">
        <v>2500</v>
      </c>
      <c r="H136" s="208" t="str">
        <f t="shared" si="6"/>
        <v>vừa</v>
      </c>
      <c r="I136" s="28">
        <v>220</v>
      </c>
      <c r="J136" s="28">
        <v>220</v>
      </c>
      <c r="K136" s="54"/>
      <c r="L136" s="55"/>
      <c r="M136" s="56"/>
      <c r="N136" s="56"/>
      <c r="O136" s="56"/>
      <c r="P136" s="56"/>
      <c r="Q136" s="55">
        <f>F136*G136+F137*G137</f>
        <v>8700</v>
      </c>
      <c r="R136" s="56"/>
      <c r="S136" s="56"/>
    </row>
    <row r="137" spans="1:19" s="57" customFormat="1" ht="19.899999999999999" customHeight="1" outlineLevel="1" x14ac:dyDescent="0.25">
      <c r="A137" s="1">
        <f>IF(B137&gt;0,SUM(MAX($A$10:A136),1),0)</f>
        <v>0</v>
      </c>
      <c r="B137" s="203"/>
      <c r="C137" s="27" t="s">
        <v>238</v>
      </c>
      <c r="D137" s="203"/>
      <c r="E137" s="203"/>
      <c r="F137" s="26">
        <v>1</v>
      </c>
      <c r="G137" s="28">
        <v>1200</v>
      </c>
      <c r="H137" s="209"/>
      <c r="I137" s="29"/>
      <c r="J137" s="29"/>
      <c r="K137" s="54"/>
      <c r="L137" s="55"/>
      <c r="M137" s="56"/>
      <c r="N137" s="56"/>
      <c r="O137" s="56"/>
      <c r="P137" s="56"/>
      <c r="Q137" s="55"/>
      <c r="R137" s="56"/>
      <c r="S137" s="56"/>
    </row>
    <row r="138" spans="1:19" s="57" customFormat="1" ht="19.899999999999999" customHeight="1" outlineLevel="1" x14ac:dyDescent="0.25">
      <c r="A138" s="1"/>
      <c r="B138" s="202">
        <v>36</v>
      </c>
      <c r="C138" s="204" t="s">
        <v>239</v>
      </c>
      <c r="D138" s="202" t="s">
        <v>237</v>
      </c>
      <c r="E138" s="202" t="s">
        <v>26</v>
      </c>
      <c r="F138" s="26">
        <v>3</v>
      </c>
      <c r="G138" s="28">
        <v>2000</v>
      </c>
      <c r="H138" s="208" t="str">
        <f t="shared" si="6"/>
        <v>vừa</v>
      </c>
      <c r="I138" s="212">
        <v>200</v>
      </c>
      <c r="J138" s="212">
        <v>200</v>
      </c>
      <c r="K138" s="200" t="s">
        <v>240</v>
      </c>
      <c r="L138" s="55"/>
      <c r="M138" s="56"/>
      <c r="N138" s="56"/>
      <c r="O138" s="56"/>
      <c r="P138" s="56"/>
      <c r="Q138" s="55">
        <f>F138*G138+F139*G139+F140*G140</f>
        <v>8600</v>
      </c>
      <c r="R138" s="56"/>
      <c r="S138" s="56"/>
    </row>
    <row r="139" spans="1:19" s="57" customFormat="1" ht="19.899999999999999" customHeight="1" outlineLevel="1" x14ac:dyDescent="0.25">
      <c r="A139" s="1"/>
      <c r="B139" s="203"/>
      <c r="C139" s="205"/>
      <c r="D139" s="210"/>
      <c r="E139" s="210"/>
      <c r="F139" s="26">
        <v>1</v>
      </c>
      <c r="G139" s="28">
        <v>1200</v>
      </c>
      <c r="H139" s="211"/>
      <c r="I139" s="213"/>
      <c r="J139" s="213"/>
      <c r="K139" s="216"/>
      <c r="L139" s="55"/>
      <c r="M139" s="56"/>
      <c r="N139" s="56"/>
      <c r="O139" s="56"/>
      <c r="P139" s="56"/>
      <c r="Q139" s="55"/>
      <c r="R139" s="56"/>
      <c r="S139" s="56"/>
    </row>
    <row r="140" spans="1:19" s="57" customFormat="1" ht="19.899999999999999" customHeight="1" outlineLevel="1" x14ac:dyDescent="0.25">
      <c r="A140" s="1"/>
      <c r="B140" s="26"/>
      <c r="C140" s="27" t="s">
        <v>241</v>
      </c>
      <c r="D140" s="203"/>
      <c r="E140" s="203"/>
      <c r="F140" s="26">
        <v>1</v>
      </c>
      <c r="G140" s="28">
        <v>1400</v>
      </c>
      <c r="H140" s="209"/>
      <c r="I140" s="29"/>
      <c r="J140" s="29"/>
      <c r="K140" s="201"/>
      <c r="L140" s="55"/>
      <c r="M140" s="56"/>
      <c r="N140" s="56"/>
      <c r="O140" s="56"/>
      <c r="P140" s="56"/>
      <c r="Q140" s="55"/>
      <c r="R140" s="56"/>
      <c r="S140" s="56"/>
    </row>
    <row r="141" spans="1:19" s="57" customFormat="1" ht="19.899999999999999" customHeight="1" outlineLevel="1" x14ac:dyDescent="0.25">
      <c r="A141" s="1"/>
      <c r="B141" s="202">
        <v>37</v>
      </c>
      <c r="C141" s="204" t="s">
        <v>242</v>
      </c>
      <c r="D141" s="202" t="s">
        <v>210</v>
      </c>
      <c r="E141" s="202" t="s">
        <v>83</v>
      </c>
      <c r="F141" s="26">
        <v>5</v>
      </c>
      <c r="G141" s="28">
        <v>900</v>
      </c>
      <c r="H141" s="208" t="str">
        <f t="shared" si="6"/>
        <v>vừa</v>
      </c>
      <c r="I141" s="220">
        <v>130</v>
      </c>
      <c r="J141" s="220">
        <v>130</v>
      </c>
      <c r="K141" s="222"/>
      <c r="L141" s="55"/>
      <c r="M141" s="56"/>
      <c r="N141" s="56"/>
      <c r="O141" s="56"/>
      <c r="P141" s="56"/>
      <c r="Q141" s="55">
        <f>F141*G141+F142*G142</f>
        <v>7000</v>
      </c>
      <c r="R141" s="56"/>
      <c r="S141" s="56"/>
    </row>
    <row r="142" spans="1:19" s="57" customFormat="1" ht="19.899999999999999" customHeight="1" outlineLevel="1" x14ac:dyDescent="0.25">
      <c r="A142" s="1"/>
      <c r="B142" s="203"/>
      <c r="C142" s="205"/>
      <c r="D142" s="203"/>
      <c r="E142" s="203"/>
      <c r="F142" s="26">
        <v>1</v>
      </c>
      <c r="G142" s="28">
        <v>2500</v>
      </c>
      <c r="H142" s="209"/>
      <c r="I142" s="221"/>
      <c r="J142" s="221"/>
      <c r="K142" s="223"/>
      <c r="L142" s="55"/>
      <c r="M142" s="56"/>
      <c r="N142" s="56"/>
      <c r="O142" s="56"/>
      <c r="P142" s="56"/>
      <c r="Q142" s="55"/>
      <c r="R142" s="56"/>
      <c r="S142" s="56"/>
    </row>
    <row r="143" spans="1:19" s="57" customFormat="1" ht="19.899999999999999" customHeight="1" outlineLevel="1" x14ac:dyDescent="0.25">
      <c r="A143" s="1"/>
      <c r="B143" s="202">
        <v>38</v>
      </c>
      <c r="C143" s="204" t="s">
        <v>243</v>
      </c>
      <c r="D143" s="225" t="s">
        <v>244</v>
      </c>
      <c r="E143" s="202" t="s">
        <v>83</v>
      </c>
      <c r="F143" s="26">
        <v>1</v>
      </c>
      <c r="G143" s="28">
        <v>980</v>
      </c>
      <c r="H143" s="208" t="str">
        <f t="shared" si="6"/>
        <v>nhỏ</v>
      </c>
      <c r="I143" s="220">
        <v>150</v>
      </c>
      <c r="J143" s="220">
        <v>150</v>
      </c>
      <c r="K143" s="222"/>
      <c r="L143" s="55"/>
      <c r="M143" s="56"/>
      <c r="N143" s="56"/>
      <c r="O143" s="56"/>
      <c r="P143" s="56"/>
      <c r="Q143" s="55">
        <f>F143*G143+F144*G144</f>
        <v>3220</v>
      </c>
      <c r="R143" s="56"/>
      <c r="S143" s="56"/>
    </row>
    <row r="144" spans="1:19" s="57" customFormat="1" ht="19.899999999999999" customHeight="1" outlineLevel="1" x14ac:dyDescent="0.25">
      <c r="A144" s="1"/>
      <c r="B144" s="203"/>
      <c r="C144" s="205"/>
      <c r="D144" s="225"/>
      <c r="E144" s="203"/>
      <c r="F144" s="26">
        <v>2</v>
      </c>
      <c r="G144" s="28">
        <v>1120</v>
      </c>
      <c r="H144" s="209"/>
      <c r="I144" s="221"/>
      <c r="J144" s="221"/>
      <c r="K144" s="223"/>
      <c r="L144" s="55"/>
      <c r="M144" s="56"/>
      <c r="N144" s="56"/>
      <c r="O144" s="56"/>
      <c r="P144" s="56"/>
      <c r="Q144" s="55"/>
      <c r="R144" s="56"/>
      <c r="S144" s="56"/>
    </row>
    <row r="145" spans="1:19" s="57" customFormat="1" ht="19.899999999999999" customHeight="1" outlineLevel="1" x14ac:dyDescent="0.25">
      <c r="A145" s="1"/>
      <c r="B145" s="202">
        <v>39</v>
      </c>
      <c r="C145" s="224" t="s">
        <v>244</v>
      </c>
      <c r="D145" s="225" t="s">
        <v>244</v>
      </c>
      <c r="E145" s="202" t="s">
        <v>83</v>
      </c>
      <c r="F145" s="26">
        <v>4</v>
      </c>
      <c r="G145" s="28">
        <v>900</v>
      </c>
      <c r="H145" s="29" t="str">
        <f t="shared" si="6"/>
        <v>vừa</v>
      </c>
      <c r="I145" s="212">
        <v>210</v>
      </c>
      <c r="J145" s="212">
        <v>210</v>
      </c>
      <c r="K145" s="222"/>
      <c r="L145" s="55"/>
      <c r="M145" s="56"/>
      <c r="N145" s="56"/>
      <c r="O145" s="56"/>
      <c r="P145" s="56"/>
      <c r="Q145" s="55">
        <f>F145*G145+F146*G146</f>
        <v>6000</v>
      </c>
      <c r="R145" s="56"/>
      <c r="S145" s="56"/>
    </row>
    <row r="146" spans="1:19" s="57" customFormat="1" ht="19.899999999999999" customHeight="1" outlineLevel="1" x14ac:dyDescent="0.25">
      <c r="A146" s="1"/>
      <c r="B146" s="203"/>
      <c r="C146" s="224"/>
      <c r="D146" s="225"/>
      <c r="E146" s="203"/>
      <c r="F146" s="26">
        <v>2</v>
      </c>
      <c r="G146" s="28">
        <v>1200</v>
      </c>
      <c r="H146" s="29"/>
      <c r="I146" s="213"/>
      <c r="J146" s="213"/>
      <c r="K146" s="223"/>
      <c r="L146" s="55"/>
      <c r="M146" s="56"/>
      <c r="N146" s="56"/>
      <c r="O146" s="56"/>
      <c r="P146" s="56"/>
      <c r="Q146" s="55"/>
      <c r="R146" s="56"/>
      <c r="S146" s="56"/>
    </row>
    <row r="147" spans="1:19" s="57" customFormat="1" ht="19.899999999999999" customHeight="1" outlineLevel="1" x14ac:dyDescent="0.25">
      <c r="A147" s="1"/>
      <c r="B147" s="202">
        <v>40</v>
      </c>
      <c r="C147" s="27" t="s">
        <v>245</v>
      </c>
      <c r="D147" s="202" t="s">
        <v>246</v>
      </c>
      <c r="E147" s="202" t="s">
        <v>26</v>
      </c>
      <c r="F147" s="26">
        <v>14</v>
      </c>
      <c r="G147" s="28">
        <v>4000</v>
      </c>
      <c r="H147" s="208" t="str">
        <f t="shared" si="6"/>
        <v>vừa</v>
      </c>
      <c r="I147" s="212">
        <v>650</v>
      </c>
      <c r="J147" s="212">
        <v>650</v>
      </c>
      <c r="K147" s="200" t="s">
        <v>247</v>
      </c>
      <c r="L147" s="55"/>
      <c r="M147" s="56"/>
      <c r="N147" s="56"/>
      <c r="O147" s="56"/>
      <c r="P147" s="56"/>
      <c r="Q147" s="55">
        <f>F147*G147+F148*G148</f>
        <v>67200</v>
      </c>
      <c r="R147" s="56"/>
      <c r="S147" s="56"/>
    </row>
    <row r="148" spans="1:19" s="57" customFormat="1" ht="19.899999999999999" customHeight="1" outlineLevel="1" x14ac:dyDescent="0.25">
      <c r="A148" s="1">
        <f>IF(B148&gt;0,SUM(MAX($A$10:A137),1),0)</f>
        <v>0</v>
      </c>
      <c r="B148" s="203"/>
      <c r="C148" s="27" t="s">
        <v>248</v>
      </c>
      <c r="D148" s="203"/>
      <c r="E148" s="203"/>
      <c r="F148" s="26">
        <v>8</v>
      </c>
      <c r="G148" s="28">
        <v>1400</v>
      </c>
      <c r="H148" s="209"/>
      <c r="I148" s="213"/>
      <c r="J148" s="213"/>
      <c r="K148" s="201"/>
      <c r="L148" s="55"/>
      <c r="M148" s="56"/>
      <c r="N148" s="56"/>
      <c r="O148" s="56"/>
      <c r="P148" s="56"/>
      <c r="Q148" s="55"/>
      <c r="R148" s="56"/>
      <c r="S148" s="56"/>
    </row>
    <row r="149" spans="1:19" s="57" customFormat="1" ht="19.899999999999999" customHeight="1" outlineLevel="1" x14ac:dyDescent="0.25">
      <c r="A149" s="1">
        <f>IF(B149&gt;0,SUM(MAX($A$10:A148),1),0)</f>
        <v>75</v>
      </c>
      <c r="B149" s="26">
        <v>41</v>
      </c>
      <c r="C149" s="27" t="s">
        <v>249</v>
      </c>
      <c r="D149" s="26" t="s">
        <v>246</v>
      </c>
      <c r="E149" s="26" t="s">
        <v>26</v>
      </c>
      <c r="F149" s="26">
        <v>10</v>
      </c>
      <c r="G149" s="28">
        <v>8000</v>
      </c>
      <c r="H149" s="29" t="str">
        <f t="shared" si="6"/>
        <v>lớn</v>
      </c>
      <c r="I149" s="28">
        <v>2800</v>
      </c>
      <c r="J149" s="28">
        <v>3000</v>
      </c>
      <c r="K149" s="31" t="s">
        <v>250</v>
      </c>
      <c r="L149" s="55"/>
      <c r="M149" s="56"/>
      <c r="N149" s="56"/>
      <c r="O149" s="56"/>
      <c r="P149" s="56"/>
      <c r="Q149" s="55">
        <f>F149*G149</f>
        <v>80000</v>
      </c>
      <c r="R149" s="56"/>
      <c r="S149" s="56"/>
    </row>
    <row r="150" spans="1:19" s="57" customFormat="1" ht="19.899999999999999" customHeight="1" outlineLevel="1" x14ac:dyDescent="0.25">
      <c r="A150" s="1">
        <f>IF(B150&gt;0,SUM(MAX($A$10:A149),1),0)</f>
        <v>76</v>
      </c>
      <c r="B150" s="26">
        <v>42</v>
      </c>
      <c r="C150" s="27" t="s">
        <v>251</v>
      </c>
      <c r="D150" s="26" t="s">
        <v>246</v>
      </c>
      <c r="E150" s="26" t="s">
        <v>26</v>
      </c>
      <c r="F150" s="26">
        <v>6</v>
      </c>
      <c r="G150" s="28">
        <v>980</v>
      </c>
      <c r="H150" s="29" t="str">
        <f t="shared" si="6"/>
        <v>vừa</v>
      </c>
      <c r="I150" s="29"/>
      <c r="J150" s="29"/>
      <c r="K150" s="31" t="s">
        <v>252</v>
      </c>
      <c r="L150" s="55"/>
      <c r="M150" s="56"/>
      <c r="N150" s="56"/>
      <c r="O150" s="56"/>
      <c r="P150" s="56"/>
      <c r="Q150" s="55">
        <f>F150*G150</f>
        <v>5880</v>
      </c>
      <c r="R150" s="56"/>
      <c r="S150" s="56"/>
    </row>
    <row r="151" spans="1:19" s="57" customFormat="1" ht="19.899999999999999" customHeight="1" outlineLevel="1" x14ac:dyDescent="0.25">
      <c r="A151" s="1">
        <f>IF(B151&gt;0,SUM(MAX($A$10:A150),1),0)</f>
        <v>77</v>
      </c>
      <c r="B151" s="202">
        <v>43</v>
      </c>
      <c r="C151" s="27" t="s">
        <v>253</v>
      </c>
      <c r="D151" s="202" t="s">
        <v>246</v>
      </c>
      <c r="E151" s="202" t="s">
        <v>26</v>
      </c>
      <c r="F151" s="26">
        <v>6</v>
      </c>
      <c r="G151" s="28">
        <v>3700</v>
      </c>
      <c r="H151" s="208" t="str">
        <f t="shared" si="6"/>
        <v>vừa</v>
      </c>
      <c r="I151" s="28">
        <v>290</v>
      </c>
      <c r="J151" s="28">
        <v>290</v>
      </c>
      <c r="K151" s="200" t="s">
        <v>254</v>
      </c>
      <c r="L151" s="55"/>
      <c r="M151" s="56"/>
      <c r="N151" s="56"/>
      <c r="O151" s="56"/>
      <c r="P151" s="56"/>
      <c r="Q151" s="55">
        <f>F151*G151+F152*G152</f>
        <v>23400</v>
      </c>
      <c r="R151" s="56"/>
      <c r="S151" s="56"/>
    </row>
    <row r="152" spans="1:19" s="57" customFormat="1" ht="19.899999999999999" customHeight="1" outlineLevel="1" x14ac:dyDescent="0.25">
      <c r="A152" s="1">
        <f>IF(B152&gt;0,SUM(MAX($A$10:A151),1),0)</f>
        <v>0</v>
      </c>
      <c r="B152" s="203"/>
      <c r="C152" s="27" t="s">
        <v>255</v>
      </c>
      <c r="D152" s="203"/>
      <c r="E152" s="203"/>
      <c r="F152" s="26">
        <v>1</v>
      </c>
      <c r="G152" s="28">
        <v>1200</v>
      </c>
      <c r="H152" s="209"/>
      <c r="I152" s="29"/>
      <c r="J152" s="29"/>
      <c r="K152" s="201"/>
      <c r="L152" s="55"/>
      <c r="M152" s="56"/>
      <c r="N152" s="56"/>
      <c r="O152" s="56"/>
      <c r="P152" s="56"/>
      <c r="Q152" s="55"/>
      <c r="R152" s="56"/>
      <c r="S152" s="56"/>
    </row>
    <row r="153" spans="1:19" s="57" customFormat="1" ht="19.899999999999999" customHeight="1" outlineLevel="1" x14ac:dyDescent="0.25">
      <c r="A153" s="1">
        <f>IF(B153&gt;0,SUM(MAX($A$10:A152),1),0)</f>
        <v>78</v>
      </c>
      <c r="B153" s="202">
        <v>44</v>
      </c>
      <c r="C153" s="27" t="s">
        <v>256</v>
      </c>
      <c r="D153" s="202" t="s">
        <v>257</v>
      </c>
      <c r="E153" s="202" t="s">
        <v>26</v>
      </c>
      <c r="F153" s="26">
        <v>5</v>
      </c>
      <c r="G153" s="28">
        <v>4000</v>
      </c>
      <c r="H153" s="29" t="str">
        <f t="shared" ref="H153:H216" si="10">IF(AND(Q153&lt;3600,Q153&gt;0),"nhỏ",IF(AND(Q153&gt;=3600,Q153&lt;72000),"vừa",IF(Q153&lt;&gt;0,"lớn",0)))</f>
        <v>vừa</v>
      </c>
      <c r="I153" s="28">
        <v>290</v>
      </c>
      <c r="J153" s="28">
        <v>852</v>
      </c>
      <c r="K153" s="31" t="s">
        <v>258</v>
      </c>
      <c r="L153" s="55"/>
      <c r="M153" s="56"/>
      <c r="N153" s="56"/>
      <c r="O153" s="56"/>
      <c r="P153" s="56"/>
      <c r="Q153" s="55">
        <f>F153*G153+F154*G154</f>
        <v>22000</v>
      </c>
      <c r="R153" s="56"/>
      <c r="S153" s="56"/>
    </row>
    <row r="154" spans="1:19" s="57" customFormat="1" ht="19.899999999999999" customHeight="1" outlineLevel="1" x14ac:dyDescent="0.25">
      <c r="A154" s="1">
        <f>IF(B154&gt;0,SUM(MAX($A$10:A153),1),0)</f>
        <v>0</v>
      </c>
      <c r="B154" s="203"/>
      <c r="C154" s="27" t="s">
        <v>259</v>
      </c>
      <c r="D154" s="203"/>
      <c r="E154" s="203"/>
      <c r="F154" s="26">
        <v>2</v>
      </c>
      <c r="G154" s="28">
        <v>1000</v>
      </c>
      <c r="H154" s="29"/>
      <c r="I154" s="29"/>
      <c r="J154" s="29"/>
      <c r="K154" s="54"/>
      <c r="L154" s="55"/>
      <c r="M154" s="56"/>
      <c r="N154" s="56"/>
      <c r="O154" s="56"/>
      <c r="P154" s="56"/>
      <c r="Q154" s="55"/>
      <c r="R154" s="56"/>
      <c r="S154" s="56"/>
    </row>
    <row r="155" spans="1:19" s="57" customFormat="1" ht="19.899999999999999" customHeight="1" outlineLevel="1" x14ac:dyDescent="0.25">
      <c r="A155" s="1">
        <f>IF(B155&gt;0,SUM(MAX($A$10:A154),1),0)</f>
        <v>79</v>
      </c>
      <c r="B155" s="202">
        <v>45</v>
      </c>
      <c r="C155" s="27" t="s">
        <v>260</v>
      </c>
      <c r="D155" s="202" t="s">
        <v>257</v>
      </c>
      <c r="E155" s="26" t="s">
        <v>26</v>
      </c>
      <c r="F155" s="26">
        <v>4</v>
      </c>
      <c r="G155" s="28">
        <v>980</v>
      </c>
      <c r="H155" s="29" t="str">
        <f t="shared" si="10"/>
        <v>vừa</v>
      </c>
      <c r="I155" s="28">
        <v>140</v>
      </c>
      <c r="J155" s="28">
        <v>140</v>
      </c>
      <c r="K155" s="31" t="s">
        <v>261</v>
      </c>
      <c r="L155" s="55"/>
      <c r="M155" s="56"/>
      <c r="N155" s="56"/>
      <c r="O155" s="56"/>
      <c r="P155" s="56"/>
      <c r="Q155" s="55">
        <f>F155*G155+F156*G156</f>
        <v>5320</v>
      </c>
      <c r="R155" s="56"/>
      <c r="S155" s="56"/>
    </row>
    <row r="156" spans="1:19" s="57" customFormat="1" ht="19.899999999999999" customHeight="1" outlineLevel="1" x14ac:dyDescent="0.25">
      <c r="A156" s="1">
        <f>IF(B156&gt;0,SUM(MAX($A$10:A155),1),0)</f>
        <v>0</v>
      </c>
      <c r="B156" s="203"/>
      <c r="C156" s="27" t="s">
        <v>262</v>
      </c>
      <c r="D156" s="203"/>
      <c r="E156" s="26"/>
      <c r="F156" s="26">
        <v>1</v>
      </c>
      <c r="G156" s="28">
        <v>1400</v>
      </c>
      <c r="H156" s="29"/>
      <c r="I156" s="29"/>
      <c r="J156" s="29"/>
      <c r="K156" s="31" t="s">
        <v>263</v>
      </c>
      <c r="L156" s="55"/>
      <c r="M156" s="56"/>
      <c r="N156" s="56"/>
      <c r="O156" s="56"/>
      <c r="P156" s="56"/>
      <c r="Q156" s="55"/>
      <c r="R156" s="56"/>
      <c r="S156" s="56"/>
    </row>
    <row r="157" spans="1:19" s="57" customFormat="1" ht="19.899999999999999" customHeight="1" outlineLevel="1" x14ac:dyDescent="0.25">
      <c r="A157" s="1">
        <f>IF(B157&gt;0,SUM(MAX($A$10:A156),1),0)</f>
        <v>80</v>
      </c>
      <c r="B157" s="202">
        <v>46</v>
      </c>
      <c r="C157" s="204" t="s">
        <v>264</v>
      </c>
      <c r="D157" s="202" t="s">
        <v>265</v>
      </c>
      <c r="E157" s="202" t="s">
        <v>26</v>
      </c>
      <c r="F157" s="26">
        <v>3</v>
      </c>
      <c r="G157" s="28">
        <v>2000</v>
      </c>
      <c r="H157" s="208" t="str">
        <f t="shared" si="10"/>
        <v>vừa</v>
      </c>
      <c r="I157" s="212">
        <v>120</v>
      </c>
      <c r="J157" s="212">
        <v>120</v>
      </c>
      <c r="K157" s="212" t="s">
        <v>266</v>
      </c>
      <c r="L157" s="55"/>
      <c r="M157" s="56"/>
      <c r="N157" s="56"/>
      <c r="O157" s="56"/>
      <c r="P157" s="56"/>
      <c r="Q157" s="55">
        <f>F157*G157+F158*G158+F159*G159</f>
        <v>8400</v>
      </c>
      <c r="R157" s="56"/>
      <c r="S157" s="56"/>
    </row>
    <row r="158" spans="1:19" s="57" customFormat="1" ht="19.899999999999999" customHeight="1" outlineLevel="1" x14ac:dyDescent="0.25">
      <c r="A158" s="1">
        <f>IF(B158&gt;0,SUM(MAX($A$10:A157),1),0)</f>
        <v>0</v>
      </c>
      <c r="B158" s="210"/>
      <c r="C158" s="205"/>
      <c r="D158" s="210"/>
      <c r="E158" s="210"/>
      <c r="F158" s="26">
        <v>1</v>
      </c>
      <c r="G158" s="28">
        <v>1200</v>
      </c>
      <c r="H158" s="211"/>
      <c r="I158" s="218"/>
      <c r="J158" s="218"/>
      <c r="K158" s="218"/>
      <c r="L158" s="55"/>
      <c r="M158" s="56"/>
      <c r="N158" s="56"/>
      <c r="O158" s="56"/>
      <c r="P158" s="56"/>
      <c r="Q158" s="55"/>
      <c r="R158" s="56"/>
      <c r="S158" s="56"/>
    </row>
    <row r="159" spans="1:19" s="57" customFormat="1" ht="19.899999999999999" customHeight="1" outlineLevel="1" x14ac:dyDescent="0.25">
      <c r="A159" s="1">
        <f>IF(B159&gt;0,SUM(MAX($A$10:A158),1),0)</f>
        <v>0</v>
      </c>
      <c r="B159" s="203"/>
      <c r="C159" s="27" t="s">
        <v>267</v>
      </c>
      <c r="D159" s="203"/>
      <c r="E159" s="203"/>
      <c r="F159" s="26">
        <v>1</v>
      </c>
      <c r="G159" s="28">
        <v>1200</v>
      </c>
      <c r="H159" s="209"/>
      <c r="I159" s="213"/>
      <c r="J159" s="213"/>
      <c r="K159" s="213"/>
      <c r="L159" s="55"/>
      <c r="M159" s="56"/>
      <c r="N159" s="56"/>
      <c r="O159" s="56"/>
      <c r="P159" s="56"/>
      <c r="Q159" s="55"/>
      <c r="R159" s="56"/>
      <c r="S159" s="56"/>
    </row>
    <row r="160" spans="1:19" s="57" customFormat="1" ht="19.899999999999999" customHeight="1" outlineLevel="1" x14ac:dyDescent="0.25">
      <c r="A160" s="1">
        <f>IF(B160&gt;0,SUM(MAX($A$10:A159),1),0)</f>
        <v>81</v>
      </c>
      <c r="B160" s="202">
        <v>47</v>
      </c>
      <c r="C160" s="204" t="s">
        <v>268</v>
      </c>
      <c r="D160" s="26" t="s">
        <v>265</v>
      </c>
      <c r="E160" s="202" t="s">
        <v>26</v>
      </c>
      <c r="F160" s="26">
        <v>2</v>
      </c>
      <c r="G160" s="28">
        <v>2000</v>
      </c>
      <c r="H160" s="208" t="str">
        <f t="shared" si="10"/>
        <v>vừa</v>
      </c>
      <c r="I160" s="226">
        <v>120</v>
      </c>
      <c r="J160" s="226">
        <v>120</v>
      </c>
      <c r="K160" s="226" t="s">
        <v>269</v>
      </c>
      <c r="L160" s="55"/>
      <c r="M160" s="56"/>
      <c r="N160" s="56"/>
      <c r="O160" s="56"/>
      <c r="P160" s="56"/>
      <c r="Q160" s="55">
        <f>F160*G160+F161*G161</f>
        <v>5200</v>
      </c>
      <c r="R160" s="56"/>
      <c r="S160" s="56"/>
    </row>
    <row r="161" spans="1:19" s="57" customFormat="1" ht="19.899999999999999" customHeight="1" outlineLevel="1" x14ac:dyDescent="0.25">
      <c r="A161" s="1">
        <f>IF(B161&gt;0,SUM(MAX($A$10:A160),1),0)</f>
        <v>0</v>
      </c>
      <c r="B161" s="203"/>
      <c r="C161" s="205"/>
      <c r="D161" s="26"/>
      <c r="E161" s="203"/>
      <c r="F161" s="26">
        <v>1</v>
      </c>
      <c r="G161" s="28">
        <v>1200</v>
      </c>
      <c r="H161" s="209"/>
      <c r="I161" s="227"/>
      <c r="J161" s="227"/>
      <c r="K161" s="227"/>
      <c r="L161" s="55"/>
      <c r="M161" s="56"/>
      <c r="N161" s="56"/>
      <c r="O161" s="56"/>
      <c r="P161" s="56"/>
      <c r="Q161" s="55"/>
      <c r="R161" s="56"/>
      <c r="S161" s="56"/>
    </row>
    <row r="162" spans="1:19" s="57" customFormat="1" ht="19.899999999999999" customHeight="1" outlineLevel="1" x14ac:dyDescent="0.25">
      <c r="A162" s="1">
        <f>IF(B162&gt;0,SUM(MAX($A$10:A161),1),0)</f>
        <v>82</v>
      </c>
      <c r="B162" s="26">
        <v>48</v>
      </c>
      <c r="C162" s="27" t="s">
        <v>270</v>
      </c>
      <c r="D162" s="26" t="s">
        <v>265</v>
      </c>
      <c r="E162" s="26" t="s">
        <v>26</v>
      </c>
      <c r="F162" s="26">
        <v>5</v>
      </c>
      <c r="G162" s="28">
        <v>980</v>
      </c>
      <c r="H162" s="29" t="str">
        <f t="shared" si="10"/>
        <v>vừa</v>
      </c>
      <c r="I162" s="28">
        <v>130</v>
      </c>
      <c r="J162" s="28">
        <v>130</v>
      </c>
      <c r="K162" s="31" t="s">
        <v>271</v>
      </c>
      <c r="L162" s="55"/>
      <c r="M162" s="56"/>
      <c r="N162" s="56"/>
      <c r="O162" s="56"/>
      <c r="P162" s="56"/>
      <c r="Q162" s="55">
        <f>G162*F162</f>
        <v>4900</v>
      </c>
      <c r="R162" s="56"/>
      <c r="S162" s="56"/>
    </row>
    <row r="163" spans="1:19" s="57" customFormat="1" ht="19.899999999999999" customHeight="1" outlineLevel="1" x14ac:dyDescent="0.25">
      <c r="A163" s="1">
        <f>IF(B163&gt;0,SUM(MAX($A$10:A162),1),0)</f>
        <v>83</v>
      </c>
      <c r="B163" s="202">
        <v>49</v>
      </c>
      <c r="C163" s="27" t="s">
        <v>272</v>
      </c>
      <c r="D163" s="202" t="s">
        <v>265</v>
      </c>
      <c r="E163" s="202" t="s">
        <v>26</v>
      </c>
      <c r="F163" s="26">
        <v>6</v>
      </c>
      <c r="G163" s="28">
        <v>4000</v>
      </c>
      <c r="H163" s="208" t="str">
        <f t="shared" si="10"/>
        <v>vừa</v>
      </c>
      <c r="I163" s="28">
        <v>250</v>
      </c>
      <c r="J163" s="28">
        <v>250</v>
      </c>
      <c r="K163" s="200" t="s">
        <v>273</v>
      </c>
      <c r="L163" s="55"/>
      <c r="M163" s="56"/>
      <c r="N163" s="56"/>
      <c r="O163" s="56"/>
      <c r="P163" s="56"/>
      <c r="Q163" s="55">
        <f>F163*G163+F164*G164</f>
        <v>27000</v>
      </c>
      <c r="R163" s="56"/>
      <c r="S163" s="56"/>
    </row>
    <row r="164" spans="1:19" s="57" customFormat="1" ht="19.899999999999999" customHeight="1" outlineLevel="1" x14ac:dyDescent="0.25">
      <c r="A164" s="1">
        <f>IF(B164&gt;0,SUM(MAX($A$10:A163),1),0)</f>
        <v>0</v>
      </c>
      <c r="B164" s="203"/>
      <c r="C164" s="27" t="s">
        <v>274</v>
      </c>
      <c r="D164" s="203"/>
      <c r="E164" s="203"/>
      <c r="F164" s="26">
        <v>3</v>
      </c>
      <c r="G164" s="28">
        <v>1000</v>
      </c>
      <c r="H164" s="209"/>
      <c r="I164" s="29"/>
      <c r="J164" s="29"/>
      <c r="K164" s="201"/>
      <c r="L164" s="55"/>
      <c r="M164" s="56"/>
      <c r="N164" s="56"/>
      <c r="O164" s="56"/>
      <c r="P164" s="56"/>
      <c r="Q164" s="55"/>
      <c r="R164" s="56"/>
      <c r="S164" s="56"/>
    </row>
    <row r="165" spans="1:19" s="57" customFormat="1" ht="19.899999999999999" customHeight="1" outlineLevel="1" x14ac:dyDescent="0.25">
      <c r="A165" s="1">
        <f>IF(B165&gt;0,SUM(MAX($A$10:A164),1),0)</f>
        <v>84</v>
      </c>
      <c r="B165" s="26">
        <v>50</v>
      </c>
      <c r="C165" s="27" t="s">
        <v>275</v>
      </c>
      <c r="D165" s="26" t="s">
        <v>265</v>
      </c>
      <c r="E165" s="26" t="s">
        <v>202</v>
      </c>
      <c r="F165" s="26">
        <v>3</v>
      </c>
      <c r="G165" s="28">
        <v>1120</v>
      </c>
      <c r="H165" s="29" t="str">
        <f t="shared" si="10"/>
        <v>nhỏ</v>
      </c>
      <c r="I165" s="29"/>
      <c r="J165" s="29"/>
      <c r="K165" s="54"/>
      <c r="L165" s="55"/>
      <c r="M165" s="56"/>
      <c r="N165" s="56"/>
      <c r="O165" s="56"/>
      <c r="P165" s="56"/>
      <c r="Q165" s="55">
        <f>G165*F165</f>
        <v>3360</v>
      </c>
      <c r="R165" s="56"/>
      <c r="S165" s="56"/>
    </row>
    <row r="166" spans="1:19" s="57" customFormat="1" ht="19.899999999999999" customHeight="1" outlineLevel="1" x14ac:dyDescent="0.25">
      <c r="A166" s="1">
        <f>IF(B166&gt;0,SUM(MAX($A$10:A165),1),0)</f>
        <v>85</v>
      </c>
      <c r="B166" s="26">
        <v>51</v>
      </c>
      <c r="C166" s="27" t="s">
        <v>276</v>
      </c>
      <c r="D166" s="26" t="s">
        <v>157</v>
      </c>
      <c r="E166" s="26" t="s">
        <v>158</v>
      </c>
      <c r="F166" s="26">
        <v>4</v>
      </c>
      <c r="G166" s="28">
        <v>1400</v>
      </c>
      <c r="H166" s="29" t="str">
        <f t="shared" si="10"/>
        <v>vừa</v>
      </c>
      <c r="I166" s="28">
        <v>230</v>
      </c>
      <c r="J166" s="28">
        <v>230</v>
      </c>
      <c r="K166" s="31" t="s">
        <v>277</v>
      </c>
      <c r="L166" s="55"/>
      <c r="M166" s="56"/>
      <c r="N166" s="56"/>
      <c r="O166" s="56"/>
      <c r="P166" s="56"/>
      <c r="Q166" s="55">
        <f>G166*F166</f>
        <v>5600</v>
      </c>
      <c r="R166" s="56"/>
      <c r="S166" s="56"/>
    </row>
    <row r="167" spans="1:19" s="57" customFormat="1" ht="19.899999999999999" customHeight="1" outlineLevel="1" x14ac:dyDescent="0.25">
      <c r="A167" s="1">
        <f>IF(B167&gt;0,SUM(MAX($A$10:A166),1),0)</f>
        <v>86</v>
      </c>
      <c r="B167" s="26">
        <v>52</v>
      </c>
      <c r="C167" s="27" t="s">
        <v>278</v>
      </c>
      <c r="D167" s="26" t="s">
        <v>157</v>
      </c>
      <c r="E167" s="26" t="s">
        <v>158</v>
      </c>
      <c r="F167" s="26">
        <v>4</v>
      </c>
      <c r="G167" s="28">
        <v>4000</v>
      </c>
      <c r="H167" s="29" t="str">
        <f t="shared" si="10"/>
        <v>vừa</v>
      </c>
      <c r="I167" s="28">
        <v>160</v>
      </c>
      <c r="J167" s="28">
        <v>160</v>
      </c>
      <c r="K167" s="31" t="s">
        <v>279</v>
      </c>
      <c r="L167" s="55"/>
      <c r="M167" s="56"/>
      <c r="N167" s="56"/>
      <c r="O167" s="56"/>
      <c r="P167" s="56"/>
      <c r="Q167" s="55">
        <f>G167*F167</f>
        <v>16000</v>
      </c>
      <c r="R167" s="56"/>
      <c r="S167" s="56"/>
    </row>
    <row r="168" spans="1:19" s="57" customFormat="1" ht="19.899999999999999" customHeight="1" outlineLevel="1" x14ac:dyDescent="0.25">
      <c r="A168" s="1">
        <f>IF(B168&gt;0,SUM(MAX($A$10:A167),1),0)</f>
        <v>87</v>
      </c>
      <c r="B168" s="202">
        <v>53</v>
      </c>
      <c r="C168" s="204" t="s">
        <v>280</v>
      </c>
      <c r="D168" s="202" t="s">
        <v>157</v>
      </c>
      <c r="E168" s="202" t="s">
        <v>158</v>
      </c>
      <c r="F168" s="26">
        <v>3</v>
      </c>
      <c r="G168" s="28">
        <v>980</v>
      </c>
      <c r="H168" s="208" t="str">
        <f t="shared" si="10"/>
        <v>vừa</v>
      </c>
      <c r="I168" s="212">
        <v>240</v>
      </c>
      <c r="J168" s="212">
        <v>240</v>
      </c>
      <c r="K168" s="212" t="s">
        <v>281</v>
      </c>
      <c r="L168" s="55"/>
      <c r="M168" s="56"/>
      <c r="N168" s="56"/>
      <c r="O168" s="56"/>
      <c r="P168" s="56"/>
      <c r="Q168" s="55">
        <f>G168*F168+F169*G169</f>
        <v>4860</v>
      </c>
      <c r="R168" s="56"/>
      <c r="S168" s="56"/>
    </row>
    <row r="169" spans="1:19" s="57" customFormat="1" ht="19.899999999999999" customHeight="1" outlineLevel="1" x14ac:dyDescent="0.25">
      <c r="A169" s="1">
        <f>IF(B169&gt;0,SUM(MAX($A$10:A168),1),0)</f>
        <v>0</v>
      </c>
      <c r="B169" s="203"/>
      <c r="C169" s="205"/>
      <c r="D169" s="203"/>
      <c r="E169" s="203"/>
      <c r="F169" s="26">
        <v>2</v>
      </c>
      <c r="G169" s="28">
        <v>960</v>
      </c>
      <c r="H169" s="209"/>
      <c r="I169" s="213"/>
      <c r="J169" s="213"/>
      <c r="K169" s="213"/>
      <c r="L169" s="55"/>
      <c r="M169" s="56"/>
      <c r="N169" s="56"/>
      <c r="O169" s="56"/>
      <c r="P169" s="56"/>
      <c r="Q169" s="55"/>
      <c r="R169" s="56"/>
      <c r="S169" s="56"/>
    </row>
    <row r="170" spans="1:19" s="57" customFormat="1" ht="19.899999999999999" customHeight="1" outlineLevel="1" x14ac:dyDescent="0.25">
      <c r="A170" s="1">
        <f>IF(B170&gt;0,SUM(MAX($A$10:A169),1),0)</f>
        <v>88</v>
      </c>
      <c r="B170" s="26">
        <v>54</v>
      </c>
      <c r="C170" s="27" t="s">
        <v>282</v>
      </c>
      <c r="D170" s="26" t="s">
        <v>283</v>
      </c>
      <c r="E170" s="26" t="s">
        <v>26</v>
      </c>
      <c r="F170" s="26">
        <v>2</v>
      </c>
      <c r="G170" s="28">
        <v>980</v>
      </c>
      <c r="H170" s="29" t="str">
        <f t="shared" si="10"/>
        <v>nhỏ</v>
      </c>
      <c r="I170" s="28">
        <v>80</v>
      </c>
      <c r="J170" s="28">
        <v>80</v>
      </c>
      <c r="K170" s="31" t="s">
        <v>284</v>
      </c>
      <c r="L170" s="55"/>
      <c r="M170" s="56"/>
      <c r="N170" s="56"/>
      <c r="O170" s="56"/>
      <c r="P170" s="56"/>
      <c r="Q170" s="55">
        <f>G170*F170</f>
        <v>1960</v>
      </c>
      <c r="R170" s="56"/>
      <c r="S170" s="56"/>
    </row>
    <row r="171" spans="1:19" s="57" customFormat="1" ht="19.899999999999999" customHeight="1" outlineLevel="1" x14ac:dyDescent="0.25">
      <c r="A171" s="1">
        <f>IF(B171&gt;0,SUM(MAX($A$10:A170),1),0)</f>
        <v>89</v>
      </c>
      <c r="B171" s="26">
        <v>55</v>
      </c>
      <c r="C171" s="27" t="s">
        <v>285</v>
      </c>
      <c r="D171" s="26" t="s">
        <v>283</v>
      </c>
      <c r="E171" s="26" t="s">
        <v>83</v>
      </c>
      <c r="F171" s="26">
        <v>2</v>
      </c>
      <c r="G171" s="28">
        <v>980</v>
      </c>
      <c r="H171" s="29" t="str">
        <f t="shared" si="10"/>
        <v>nhỏ</v>
      </c>
      <c r="I171" s="28">
        <v>75</v>
      </c>
      <c r="J171" s="28">
        <v>75</v>
      </c>
      <c r="K171" s="54"/>
      <c r="L171" s="55"/>
      <c r="M171" s="56"/>
      <c r="N171" s="56"/>
      <c r="O171" s="56"/>
      <c r="P171" s="56"/>
      <c r="Q171" s="55">
        <f>G171*F171</f>
        <v>1960</v>
      </c>
      <c r="R171" s="56"/>
      <c r="S171" s="56"/>
    </row>
    <row r="172" spans="1:19" s="57" customFormat="1" ht="19.899999999999999" customHeight="1" outlineLevel="1" x14ac:dyDescent="0.25">
      <c r="A172" s="1">
        <f>IF(B172&gt;0,SUM(MAX($A$10:A171),1),0)</f>
        <v>90</v>
      </c>
      <c r="B172" s="202">
        <v>56</v>
      </c>
      <c r="C172" s="204" t="s">
        <v>283</v>
      </c>
      <c r="D172" s="202" t="s">
        <v>283</v>
      </c>
      <c r="E172" s="202" t="s">
        <v>26</v>
      </c>
      <c r="F172" s="26">
        <v>2</v>
      </c>
      <c r="G172" s="28">
        <v>2500</v>
      </c>
      <c r="H172" s="208" t="str">
        <f t="shared" si="10"/>
        <v>vừa</v>
      </c>
      <c r="I172" s="212">
        <v>180</v>
      </c>
      <c r="J172" s="212">
        <v>180</v>
      </c>
      <c r="K172" s="200" t="s">
        <v>286</v>
      </c>
      <c r="L172" s="55"/>
      <c r="M172" s="56"/>
      <c r="N172" s="56"/>
      <c r="O172" s="56"/>
      <c r="P172" s="56"/>
      <c r="Q172" s="55">
        <f>G172*F172+F173*G173</f>
        <v>10880</v>
      </c>
      <c r="R172" s="56"/>
      <c r="S172" s="56"/>
    </row>
    <row r="173" spans="1:19" s="57" customFormat="1" ht="19.899999999999999" customHeight="1" outlineLevel="1" x14ac:dyDescent="0.25">
      <c r="A173" s="1">
        <f>IF(B173&gt;0,SUM(MAX($A$10:A172),1),0)</f>
        <v>0</v>
      </c>
      <c r="B173" s="203"/>
      <c r="C173" s="205"/>
      <c r="D173" s="203"/>
      <c r="E173" s="203"/>
      <c r="F173" s="26">
        <v>6</v>
      </c>
      <c r="G173" s="28">
        <v>980</v>
      </c>
      <c r="H173" s="209"/>
      <c r="I173" s="213"/>
      <c r="J173" s="213"/>
      <c r="K173" s="201"/>
      <c r="L173" s="55"/>
      <c r="M173" s="56"/>
      <c r="N173" s="56"/>
      <c r="O173" s="56"/>
      <c r="P173" s="56"/>
      <c r="Q173" s="55"/>
      <c r="R173" s="56"/>
      <c r="S173" s="56"/>
    </row>
    <row r="174" spans="1:19" s="57" customFormat="1" ht="19.899999999999999" customHeight="1" outlineLevel="1" x14ac:dyDescent="0.25">
      <c r="A174" s="1">
        <f>IF(B174&gt;0,SUM(MAX($A$10:A173),1),0)</f>
        <v>91</v>
      </c>
      <c r="B174" s="202">
        <v>57</v>
      </c>
      <c r="C174" s="204" t="s">
        <v>287</v>
      </c>
      <c r="D174" s="202" t="s">
        <v>283</v>
      </c>
      <c r="E174" s="202" t="s">
        <v>26</v>
      </c>
      <c r="F174" s="26">
        <v>3</v>
      </c>
      <c r="G174" s="28">
        <v>1200</v>
      </c>
      <c r="H174" s="208" t="str">
        <f t="shared" si="10"/>
        <v>vừa</v>
      </c>
      <c r="I174" s="220">
        <v>130</v>
      </c>
      <c r="J174" s="220">
        <v>130</v>
      </c>
      <c r="K174" s="220" t="s">
        <v>288</v>
      </c>
      <c r="L174" s="55"/>
      <c r="M174" s="56"/>
      <c r="N174" s="56"/>
      <c r="O174" s="56"/>
      <c r="P174" s="56"/>
      <c r="Q174" s="55">
        <f>G174*F174+F175*G175</f>
        <v>5560</v>
      </c>
      <c r="R174" s="56"/>
      <c r="S174" s="56"/>
    </row>
    <row r="175" spans="1:19" s="57" customFormat="1" ht="19.899999999999999" customHeight="1" outlineLevel="1" x14ac:dyDescent="0.25">
      <c r="A175" s="1">
        <f>IF(B175&gt;0,SUM(MAX($A$10:A174),1),0)</f>
        <v>0</v>
      </c>
      <c r="B175" s="203"/>
      <c r="C175" s="205"/>
      <c r="D175" s="203"/>
      <c r="E175" s="203"/>
      <c r="F175" s="26">
        <v>2</v>
      </c>
      <c r="G175" s="28">
        <v>980</v>
      </c>
      <c r="H175" s="209"/>
      <c r="I175" s="221"/>
      <c r="J175" s="221"/>
      <c r="K175" s="221"/>
      <c r="L175" s="55"/>
      <c r="M175" s="56"/>
      <c r="N175" s="56"/>
      <c r="O175" s="56"/>
      <c r="P175" s="56"/>
      <c r="Q175" s="55"/>
      <c r="R175" s="56"/>
      <c r="S175" s="56"/>
    </row>
    <row r="176" spans="1:19" s="57" customFormat="1" ht="19.899999999999999" customHeight="1" outlineLevel="1" x14ac:dyDescent="0.25">
      <c r="A176" s="1">
        <f>IF(B176&gt;0,SUM(MAX($A$10:A175),1),0)</f>
        <v>92</v>
      </c>
      <c r="B176" s="26">
        <v>58</v>
      </c>
      <c r="C176" s="27" t="s">
        <v>289</v>
      </c>
      <c r="D176" s="26" t="s">
        <v>290</v>
      </c>
      <c r="E176" s="26" t="s">
        <v>26</v>
      </c>
      <c r="F176" s="26">
        <v>4</v>
      </c>
      <c r="G176" s="28">
        <v>980</v>
      </c>
      <c r="H176" s="29" t="str">
        <f t="shared" si="10"/>
        <v>vừa</v>
      </c>
      <c r="I176" s="28">
        <v>150</v>
      </c>
      <c r="J176" s="28">
        <v>150</v>
      </c>
      <c r="K176" s="31" t="s">
        <v>291</v>
      </c>
      <c r="L176" s="55"/>
      <c r="M176" s="56"/>
      <c r="N176" s="56"/>
      <c r="O176" s="56"/>
      <c r="P176" s="56"/>
      <c r="Q176" s="55">
        <f t="shared" ref="Q176:Q183" si="11">G176*F176</f>
        <v>3920</v>
      </c>
      <c r="R176" s="56"/>
      <c r="S176" s="56"/>
    </row>
    <row r="177" spans="1:19" s="57" customFormat="1" ht="19.899999999999999" customHeight="1" outlineLevel="1" x14ac:dyDescent="0.25">
      <c r="A177" s="1">
        <f>IF(B177&gt;0,SUM(MAX($A$10:A176),1),0)</f>
        <v>93</v>
      </c>
      <c r="B177" s="26">
        <v>59</v>
      </c>
      <c r="C177" s="27" t="s">
        <v>292</v>
      </c>
      <c r="D177" s="26" t="s">
        <v>290</v>
      </c>
      <c r="E177" s="26" t="s">
        <v>158</v>
      </c>
      <c r="F177" s="26">
        <v>4</v>
      </c>
      <c r="G177" s="28">
        <v>1500</v>
      </c>
      <c r="H177" s="29" t="str">
        <f t="shared" si="10"/>
        <v>vừa</v>
      </c>
      <c r="I177" s="28">
        <v>180</v>
      </c>
      <c r="J177" s="28">
        <v>180</v>
      </c>
      <c r="K177" s="31" t="s">
        <v>293</v>
      </c>
      <c r="L177" s="55"/>
      <c r="M177" s="56"/>
      <c r="N177" s="56"/>
      <c r="O177" s="56"/>
      <c r="P177" s="56"/>
      <c r="Q177" s="55">
        <f t="shared" si="11"/>
        <v>6000</v>
      </c>
      <c r="R177" s="56"/>
      <c r="S177" s="56"/>
    </row>
    <row r="178" spans="1:19" s="57" customFormat="1" ht="19.899999999999999" customHeight="1" outlineLevel="1" x14ac:dyDescent="0.25">
      <c r="A178" s="1">
        <f>IF(B178&gt;0,SUM(MAX($A$10:A177),1),0)</f>
        <v>94</v>
      </c>
      <c r="B178" s="26">
        <v>60</v>
      </c>
      <c r="C178" s="27" t="s">
        <v>294</v>
      </c>
      <c r="D178" s="26" t="s">
        <v>290</v>
      </c>
      <c r="E178" s="26" t="s">
        <v>26</v>
      </c>
      <c r="F178" s="26">
        <v>1</v>
      </c>
      <c r="G178" s="28">
        <v>1200</v>
      </c>
      <c r="H178" s="29" t="str">
        <f t="shared" si="10"/>
        <v>nhỏ</v>
      </c>
      <c r="I178" s="28">
        <v>95</v>
      </c>
      <c r="J178" s="28">
        <v>95</v>
      </c>
      <c r="K178" s="31" t="s">
        <v>295</v>
      </c>
      <c r="L178" s="55"/>
      <c r="M178" s="56"/>
      <c r="N178" s="56"/>
      <c r="O178" s="56"/>
      <c r="P178" s="56"/>
      <c r="Q178" s="55">
        <f t="shared" si="11"/>
        <v>1200</v>
      </c>
      <c r="R178" s="56"/>
      <c r="S178" s="56"/>
    </row>
    <row r="179" spans="1:19" s="57" customFormat="1" ht="19.899999999999999" customHeight="1" outlineLevel="1" x14ac:dyDescent="0.25">
      <c r="A179" s="1">
        <f>IF(B179&gt;0,SUM(MAX($A$10:A178),1),0)</f>
        <v>95</v>
      </c>
      <c r="B179" s="26">
        <v>61</v>
      </c>
      <c r="C179" s="27" t="s">
        <v>296</v>
      </c>
      <c r="D179" s="26" t="s">
        <v>290</v>
      </c>
      <c r="E179" s="26" t="s">
        <v>26</v>
      </c>
      <c r="F179" s="26">
        <v>6</v>
      </c>
      <c r="G179" s="28">
        <v>1400</v>
      </c>
      <c r="H179" s="29" t="str">
        <f t="shared" si="10"/>
        <v>vừa</v>
      </c>
      <c r="I179" s="28">
        <v>220</v>
      </c>
      <c r="J179" s="28">
        <v>220</v>
      </c>
      <c r="K179" s="31" t="s">
        <v>297</v>
      </c>
      <c r="L179" s="55"/>
      <c r="M179" s="56"/>
      <c r="N179" s="56"/>
      <c r="O179" s="56"/>
      <c r="P179" s="56"/>
      <c r="Q179" s="55">
        <f t="shared" si="11"/>
        <v>8400</v>
      </c>
      <c r="R179" s="56"/>
      <c r="S179" s="56"/>
    </row>
    <row r="180" spans="1:19" s="57" customFormat="1" ht="19.899999999999999" customHeight="1" outlineLevel="1" x14ac:dyDescent="0.25">
      <c r="A180" s="1">
        <f>IF(B180&gt;0,SUM(MAX($A$10:A179),1),0)</f>
        <v>96</v>
      </c>
      <c r="B180" s="26">
        <v>62</v>
      </c>
      <c r="C180" s="27" t="s">
        <v>298</v>
      </c>
      <c r="D180" s="26" t="s">
        <v>290</v>
      </c>
      <c r="E180" s="26" t="s">
        <v>158</v>
      </c>
      <c r="F180" s="26">
        <v>3</v>
      </c>
      <c r="G180" s="28">
        <v>980</v>
      </c>
      <c r="H180" s="29" t="str">
        <f t="shared" si="10"/>
        <v>nhỏ</v>
      </c>
      <c r="I180" s="28">
        <v>150</v>
      </c>
      <c r="J180" s="28">
        <v>150</v>
      </c>
      <c r="K180" s="28" t="s">
        <v>299</v>
      </c>
      <c r="L180" s="55"/>
      <c r="M180" s="56"/>
      <c r="N180" s="56"/>
      <c r="O180" s="56"/>
      <c r="P180" s="56"/>
      <c r="Q180" s="55">
        <f t="shared" si="11"/>
        <v>2940</v>
      </c>
      <c r="R180" s="56"/>
      <c r="S180" s="56"/>
    </row>
    <row r="181" spans="1:19" s="57" customFormat="1" ht="19.899999999999999" customHeight="1" outlineLevel="1" x14ac:dyDescent="0.25">
      <c r="A181" s="1">
        <f>IF(B181&gt;0,SUM(MAX($A$10:A180),1),0)</f>
        <v>97</v>
      </c>
      <c r="B181" s="26">
        <v>63</v>
      </c>
      <c r="C181" s="27" t="s">
        <v>300</v>
      </c>
      <c r="D181" s="26" t="s">
        <v>300</v>
      </c>
      <c r="E181" s="26" t="s">
        <v>26</v>
      </c>
      <c r="F181" s="26">
        <v>6</v>
      </c>
      <c r="G181" s="28">
        <v>980</v>
      </c>
      <c r="H181" s="29" t="str">
        <f t="shared" si="10"/>
        <v>vừa</v>
      </c>
      <c r="I181" s="28">
        <v>200</v>
      </c>
      <c r="J181" s="28">
        <v>200</v>
      </c>
      <c r="K181" s="31" t="s">
        <v>301</v>
      </c>
      <c r="L181" s="55"/>
      <c r="M181" s="56"/>
      <c r="N181" s="56"/>
      <c r="O181" s="56"/>
      <c r="P181" s="56"/>
      <c r="Q181" s="55">
        <f t="shared" si="11"/>
        <v>5880</v>
      </c>
      <c r="R181" s="56"/>
      <c r="S181" s="56"/>
    </row>
    <row r="182" spans="1:19" s="57" customFormat="1" ht="19.899999999999999" customHeight="1" outlineLevel="1" x14ac:dyDescent="0.25">
      <c r="A182" s="1">
        <f>IF(B182&gt;0,SUM(MAX($A$10:A181),1),0)</f>
        <v>98</v>
      </c>
      <c r="B182" s="26">
        <v>64</v>
      </c>
      <c r="C182" s="27" t="s">
        <v>302</v>
      </c>
      <c r="D182" s="26" t="s">
        <v>300</v>
      </c>
      <c r="E182" s="26" t="s">
        <v>26</v>
      </c>
      <c r="F182" s="26">
        <v>2</v>
      </c>
      <c r="G182" s="28">
        <v>980</v>
      </c>
      <c r="H182" s="29" t="str">
        <f t="shared" si="10"/>
        <v>nhỏ</v>
      </c>
      <c r="I182" s="28">
        <v>75</v>
      </c>
      <c r="J182" s="28">
        <v>75</v>
      </c>
      <c r="K182" s="31" t="s">
        <v>303</v>
      </c>
      <c r="L182" s="55"/>
      <c r="M182" s="56"/>
      <c r="N182" s="56"/>
      <c r="O182" s="56"/>
      <c r="P182" s="56"/>
      <c r="Q182" s="55">
        <f t="shared" si="11"/>
        <v>1960</v>
      </c>
      <c r="R182" s="56"/>
      <c r="S182" s="56"/>
    </row>
    <row r="183" spans="1:19" s="57" customFormat="1" ht="19.899999999999999" customHeight="1" outlineLevel="1" x14ac:dyDescent="0.25">
      <c r="A183" s="1">
        <f>IF(B183&gt;0,SUM(MAX($A$10:A182),1),0)</f>
        <v>99</v>
      </c>
      <c r="B183" s="26">
        <v>65</v>
      </c>
      <c r="C183" s="27" t="s">
        <v>304</v>
      </c>
      <c r="D183" s="26" t="s">
        <v>300</v>
      </c>
      <c r="E183" s="26" t="s">
        <v>158</v>
      </c>
      <c r="F183" s="26">
        <v>3</v>
      </c>
      <c r="G183" s="28">
        <v>980</v>
      </c>
      <c r="H183" s="29" t="str">
        <f t="shared" si="10"/>
        <v>nhỏ</v>
      </c>
      <c r="I183" s="28">
        <v>140</v>
      </c>
      <c r="J183" s="28">
        <v>140</v>
      </c>
      <c r="K183" s="28" t="s">
        <v>305</v>
      </c>
      <c r="L183" s="55"/>
      <c r="M183" s="56"/>
      <c r="N183" s="56"/>
      <c r="O183" s="56"/>
      <c r="P183" s="56"/>
      <c r="Q183" s="55">
        <f t="shared" si="11"/>
        <v>2940</v>
      </c>
      <c r="R183" s="56"/>
      <c r="S183" s="56"/>
    </row>
    <row r="184" spans="1:19" s="57" customFormat="1" ht="19.899999999999999" customHeight="1" outlineLevel="1" x14ac:dyDescent="0.25">
      <c r="A184" s="1">
        <f>IF(B184&gt;0,SUM(MAX($A$10:A183),1),0)</f>
        <v>100</v>
      </c>
      <c r="B184" s="202">
        <v>66</v>
      </c>
      <c r="C184" s="204" t="s">
        <v>306</v>
      </c>
      <c r="D184" s="202" t="s">
        <v>307</v>
      </c>
      <c r="E184" s="202" t="s">
        <v>175</v>
      </c>
      <c r="F184" s="26">
        <v>1</v>
      </c>
      <c r="G184" s="28">
        <v>1200</v>
      </c>
      <c r="H184" s="208" t="str">
        <f t="shared" si="10"/>
        <v>nhỏ</v>
      </c>
      <c r="I184" s="28">
        <v>70</v>
      </c>
      <c r="J184" s="29"/>
      <c r="K184" s="31"/>
      <c r="L184" s="55"/>
      <c r="M184" s="56"/>
      <c r="N184" s="56"/>
      <c r="O184" s="56"/>
      <c r="P184" s="56"/>
      <c r="Q184" s="55">
        <f>G184*F184+F185*G185</f>
        <v>3160</v>
      </c>
      <c r="R184" s="56"/>
      <c r="S184" s="56"/>
    </row>
    <row r="185" spans="1:19" s="57" customFormat="1" ht="19.899999999999999" customHeight="1" outlineLevel="1" x14ac:dyDescent="0.25">
      <c r="A185" s="1">
        <f>IF(B185&gt;0,SUM(MAX($A$10:A184),1),0)</f>
        <v>0</v>
      </c>
      <c r="B185" s="203"/>
      <c r="C185" s="205"/>
      <c r="D185" s="203"/>
      <c r="E185" s="203"/>
      <c r="F185" s="26">
        <v>2</v>
      </c>
      <c r="G185" s="28">
        <v>980</v>
      </c>
      <c r="H185" s="209"/>
      <c r="I185" s="29"/>
      <c r="J185" s="29"/>
      <c r="K185" s="54"/>
      <c r="L185" s="55"/>
      <c r="M185" s="56"/>
      <c r="N185" s="56"/>
      <c r="O185" s="56"/>
      <c r="P185" s="56"/>
      <c r="Q185" s="55"/>
      <c r="R185" s="56"/>
      <c r="S185" s="56"/>
    </row>
    <row r="186" spans="1:19" s="57" customFormat="1" ht="19.899999999999999" customHeight="1" outlineLevel="1" x14ac:dyDescent="0.25">
      <c r="A186" s="1">
        <f>IF(B186&gt;0,SUM(MAX($A$10:A185),1),0)</f>
        <v>101</v>
      </c>
      <c r="B186" s="202">
        <v>67</v>
      </c>
      <c r="C186" s="204" t="s">
        <v>307</v>
      </c>
      <c r="D186" s="202" t="s">
        <v>307</v>
      </c>
      <c r="E186" s="202" t="s">
        <v>175</v>
      </c>
      <c r="F186" s="26">
        <v>2</v>
      </c>
      <c r="G186" s="28">
        <v>1200</v>
      </c>
      <c r="H186" s="208" t="str">
        <f t="shared" si="10"/>
        <v>vừa</v>
      </c>
      <c r="I186" s="212">
        <v>290</v>
      </c>
      <c r="J186" s="212">
        <v>290</v>
      </c>
      <c r="K186" s="222"/>
      <c r="L186" s="55"/>
      <c r="M186" s="56"/>
      <c r="N186" s="56"/>
      <c r="O186" s="56"/>
      <c r="P186" s="56"/>
      <c r="Q186" s="55">
        <f>G186*F186+F187*G187</f>
        <v>11400</v>
      </c>
      <c r="R186" s="56"/>
      <c r="S186" s="56"/>
    </row>
    <row r="187" spans="1:19" s="57" customFormat="1" ht="19.899999999999999" customHeight="1" outlineLevel="1" x14ac:dyDescent="0.25">
      <c r="A187" s="1">
        <f>IF(B187&gt;0,SUM(MAX($A$10:A186),1),0)</f>
        <v>0</v>
      </c>
      <c r="B187" s="203"/>
      <c r="C187" s="205"/>
      <c r="D187" s="203"/>
      <c r="E187" s="203"/>
      <c r="F187" s="26">
        <v>9</v>
      </c>
      <c r="G187" s="28">
        <v>1000</v>
      </c>
      <c r="H187" s="209"/>
      <c r="I187" s="213"/>
      <c r="J187" s="213"/>
      <c r="K187" s="223"/>
      <c r="L187" s="55"/>
      <c r="M187" s="56"/>
      <c r="N187" s="56"/>
      <c r="O187" s="56"/>
      <c r="P187" s="56"/>
      <c r="Q187" s="55"/>
      <c r="R187" s="56"/>
      <c r="S187" s="56"/>
    </row>
    <row r="188" spans="1:19" s="57" customFormat="1" ht="19.899999999999999" customHeight="1" outlineLevel="1" x14ac:dyDescent="0.25">
      <c r="A188" s="1">
        <f>IF(B188&gt;0,SUM(MAX($A$10:A187),1),0)</f>
        <v>102</v>
      </c>
      <c r="B188" s="26">
        <v>68</v>
      </c>
      <c r="C188" s="27" t="s">
        <v>308</v>
      </c>
      <c r="D188" s="26" t="s">
        <v>309</v>
      </c>
      <c r="E188" s="26" t="s">
        <v>83</v>
      </c>
      <c r="F188" s="26">
        <v>3</v>
      </c>
      <c r="G188" s="28">
        <v>1400</v>
      </c>
      <c r="H188" s="29" t="str">
        <f t="shared" si="10"/>
        <v>vừa</v>
      </c>
      <c r="I188" s="28">
        <v>150</v>
      </c>
      <c r="J188" s="28">
        <v>150</v>
      </c>
      <c r="K188" s="54"/>
      <c r="L188" s="55"/>
      <c r="M188" s="56"/>
      <c r="N188" s="56"/>
      <c r="O188" s="56"/>
      <c r="P188" s="56"/>
      <c r="Q188" s="55">
        <f>G188*F188</f>
        <v>4200</v>
      </c>
      <c r="R188" s="56"/>
      <c r="S188" s="56"/>
    </row>
    <row r="189" spans="1:19" s="57" customFormat="1" ht="19.899999999999999" customHeight="1" outlineLevel="1" x14ac:dyDescent="0.25">
      <c r="A189" s="1">
        <f>IF(B189&gt;0,SUM(MAX($A$10:A188),1),0)</f>
        <v>103</v>
      </c>
      <c r="B189" s="202">
        <v>69</v>
      </c>
      <c r="C189" s="204" t="s">
        <v>310</v>
      </c>
      <c r="D189" s="202" t="s">
        <v>309</v>
      </c>
      <c r="E189" s="202" t="s">
        <v>83</v>
      </c>
      <c r="F189" s="26">
        <v>1</v>
      </c>
      <c r="G189" s="28">
        <v>1200</v>
      </c>
      <c r="H189" s="208" t="str">
        <f t="shared" si="10"/>
        <v>vừa</v>
      </c>
      <c r="I189" s="212">
        <v>130</v>
      </c>
      <c r="J189" s="212">
        <v>130</v>
      </c>
      <c r="K189" s="54"/>
      <c r="L189" s="55"/>
      <c r="M189" s="56"/>
      <c r="N189" s="56"/>
      <c r="O189" s="56"/>
      <c r="P189" s="56"/>
      <c r="Q189" s="55">
        <f>G189*F189+F190*G190</f>
        <v>4140</v>
      </c>
      <c r="R189" s="56"/>
      <c r="S189" s="56"/>
    </row>
    <row r="190" spans="1:19" s="57" customFormat="1" ht="19.899999999999999" customHeight="1" outlineLevel="1" x14ac:dyDescent="0.25">
      <c r="A190" s="1">
        <f>IF(B190&gt;0,SUM(MAX($A$10:A189),1),0)</f>
        <v>0</v>
      </c>
      <c r="B190" s="203"/>
      <c r="C190" s="205"/>
      <c r="D190" s="203"/>
      <c r="E190" s="203"/>
      <c r="F190" s="26">
        <v>3</v>
      </c>
      <c r="G190" s="28">
        <v>980</v>
      </c>
      <c r="H190" s="209"/>
      <c r="I190" s="213"/>
      <c r="J190" s="213"/>
      <c r="K190" s="54"/>
      <c r="L190" s="55"/>
      <c r="M190" s="56"/>
      <c r="N190" s="56"/>
      <c r="O190" s="56"/>
      <c r="P190" s="56"/>
      <c r="Q190" s="55"/>
      <c r="R190" s="56"/>
      <c r="S190" s="56"/>
    </row>
    <row r="191" spans="1:19" s="57" customFormat="1" ht="19.899999999999999" customHeight="1" outlineLevel="1" x14ac:dyDescent="0.25">
      <c r="A191" s="1">
        <f>IF(B191&gt;0,SUM(MAX($A$10:A190),1),0)</f>
        <v>104</v>
      </c>
      <c r="B191" s="202">
        <v>70</v>
      </c>
      <c r="C191" s="204" t="s">
        <v>311</v>
      </c>
      <c r="D191" s="202" t="s">
        <v>309</v>
      </c>
      <c r="E191" s="202" t="s">
        <v>83</v>
      </c>
      <c r="F191" s="26">
        <v>4</v>
      </c>
      <c r="G191" s="28">
        <v>1400</v>
      </c>
      <c r="H191" s="208" t="str">
        <f t="shared" si="10"/>
        <v>vừa</v>
      </c>
      <c r="I191" s="212">
        <v>115</v>
      </c>
      <c r="J191" s="212">
        <v>115</v>
      </c>
      <c r="K191" s="222"/>
      <c r="L191" s="55"/>
      <c r="M191" s="56"/>
      <c r="N191" s="56"/>
      <c r="O191" s="56"/>
      <c r="P191" s="56"/>
      <c r="Q191" s="55">
        <f>G191*F191+F192*G192</f>
        <v>8540</v>
      </c>
      <c r="R191" s="56"/>
      <c r="S191" s="56"/>
    </row>
    <row r="192" spans="1:19" s="57" customFormat="1" ht="19.899999999999999" customHeight="1" outlineLevel="1" x14ac:dyDescent="0.25">
      <c r="A192" s="1">
        <f>IF(B192&gt;0,SUM(MAX($A$10:A191),1),0)</f>
        <v>0</v>
      </c>
      <c r="B192" s="203"/>
      <c r="C192" s="205"/>
      <c r="D192" s="203"/>
      <c r="E192" s="203"/>
      <c r="F192" s="26">
        <v>3</v>
      </c>
      <c r="G192" s="28">
        <v>980</v>
      </c>
      <c r="H192" s="209"/>
      <c r="I192" s="213"/>
      <c r="J192" s="213"/>
      <c r="K192" s="223"/>
      <c r="L192" s="55"/>
      <c r="M192" s="56"/>
      <c r="N192" s="56"/>
      <c r="O192" s="56"/>
      <c r="P192" s="56"/>
      <c r="Q192" s="55"/>
      <c r="R192" s="56"/>
      <c r="S192" s="56"/>
    </row>
    <row r="193" spans="1:19" s="57" customFormat="1" ht="19.899999999999999" customHeight="1" outlineLevel="1" x14ac:dyDescent="0.25">
      <c r="A193" s="1">
        <f>IF(B193&gt;0,SUM(MAX($A$10:A192),1),0)</f>
        <v>105</v>
      </c>
      <c r="B193" s="202">
        <v>71</v>
      </c>
      <c r="C193" s="204" t="s">
        <v>312</v>
      </c>
      <c r="D193" s="202" t="s">
        <v>309</v>
      </c>
      <c r="E193" s="202" t="s">
        <v>83</v>
      </c>
      <c r="F193" s="26">
        <v>2</v>
      </c>
      <c r="G193" s="28">
        <v>2000</v>
      </c>
      <c r="H193" s="208" t="str">
        <f t="shared" si="10"/>
        <v>vừa</v>
      </c>
      <c r="I193" s="212">
        <v>80</v>
      </c>
      <c r="J193" s="212">
        <v>80</v>
      </c>
      <c r="K193" s="222"/>
      <c r="L193" s="55"/>
      <c r="M193" s="56"/>
      <c r="N193" s="56"/>
      <c r="O193" s="56"/>
      <c r="P193" s="56"/>
      <c r="Q193" s="55">
        <f>G193*F193+F194*G194</f>
        <v>5400</v>
      </c>
      <c r="R193" s="56"/>
      <c r="S193" s="56"/>
    </row>
    <row r="194" spans="1:19" s="57" customFormat="1" ht="19.899999999999999" customHeight="1" outlineLevel="1" x14ac:dyDescent="0.25">
      <c r="A194" s="1">
        <f>IF(B194&gt;0,SUM(MAX($A$10:A193),1),0)</f>
        <v>0</v>
      </c>
      <c r="B194" s="203"/>
      <c r="C194" s="205"/>
      <c r="D194" s="203"/>
      <c r="E194" s="203"/>
      <c r="F194" s="26">
        <v>1</v>
      </c>
      <c r="G194" s="28">
        <v>1400</v>
      </c>
      <c r="H194" s="209"/>
      <c r="I194" s="213"/>
      <c r="J194" s="213"/>
      <c r="K194" s="223"/>
      <c r="L194" s="55"/>
      <c r="M194" s="56"/>
      <c r="N194" s="56"/>
      <c r="O194" s="56"/>
      <c r="P194" s="56"/>
      <c r="Q194" s="55"/>
      <c r="R194" s="56"/>
      <c r="S194" s="56"/>
    </row>
    <row r="195" spans="1:19" s="57" customFormat="1" ht="19.899999999999999" customHeight="1" outlineLevel="1" x14ac:dyDescent="0.25">
      <c r="A195" s="1">
        <f>IF(B195&gt;0,SUM(MAX($A$10:A194),1),0)</f>
        <v>106</v>
      </c>
      <c r="B195" s="26">
        <v>72</v>
      </c>
      <c r="C195" s="27" t="s">
        <v>313</v>
      </c>
      <c r="D195" s="26" t="s">
        <v>309</v>
      </c>
      <c r="E195" s="26" t="s">
        <v>83</v>
      </c>
      <c r="F195" s="26">
        <v>3</v>
      </c>
      <c r="G195" s="28">
        <v>980</v>
      </c>
      <c r="H195" s="29" t="str">
        <f t="shared" si="10"/>
        <v>nhỏ</v>
      </c>
      <c r="I195" s="28">
        <v>120</v>
      </c>
      <c r="J195" s="28">
        <v>120</v>
      </c>
      <c r="K195" s="54"/>
      <c r="L195" s="55"/>
      <c r="M195" s="56"/>
      <c r="N195" s="56"/>
      <c r="O195" s="56"/>
      <c r="P195" s="56"/>
      <c r="Q195" s="55">
        <f>F195*G195</f>
        <v>2940</v>
      </c>
      <c r="R195" s="56"/>
      <c r="S195" s="56"/>
    </row>
    <row r="196" spans="1:19" s="57" customFormat="1" ht="19.899999999999999" customHeight="1" outlineLevel="1" x14ac:dyDescent="0.25">
      <c r="A196" s="1">
        <f>IF(B196&gt;0,SUM(MAX($A$10:A195),1),0)</f>
        <v>107</v>
      </c>
      <c r="B196" s="26">
        <v>73</v>
      </c>
      <c r="C196" s="27" t="s">
        <v>314</v>
      </c>
      <c r="D196" s="26" t="s">
        <v>315</v>
      </c>
      <c r="E196" s="26" t="s">
        <v>83</v>
      </c>
      <c r="F196" s="26">
        <v>4</v>
      </c>
      <c r="G196" s="28">
        <v>980</v>
      </c>
      <c r="H196" s="29" t="str">
        <f t="shared" si="10"/>
        <v>vừa</v>
      </c>
      <c r="I196" s="28">
        <v>90</v>
      </c>
      <c r="J196" s="28">
        <v>90</v>
      </c>
      <c r="K196" s="54"/>
      <c r="L196" s="55"/>
      <c r="M196" s="56"/>
      <c r="N196" s="56"/>
      <c r="O196" s="56"/>
      <c r="P196" s="56"/>
      <c r="Q196" s="55">
        <f t="shared" ref="Q196:Q207" si="12">F196*G196</f>
        <v>3920</v>
      </c>
      <c r="R196" s="56"/>
      <c r="S196" s="56"/>
    </row>
    <row r="197" spans="1:19" s="57" customFormat="1" ht="19.899999999999999" customHeight="1" outlineLevel="1" x14ac:dyDescent="0.25">
      <c r="A197" s="1">
        <f>IF(B197&gt;0,SUM(MAX($A$10:A196),1),0)</f>
        <v>108</v>
      </c>
      <c r="B197" s="26">
        <v>74</v>
      </c>
      <c r="C197" s="27" t="s">
        <v>316</v>
      </c>
      <c r="D197" s="26" t="s">
        <v>315</v>
      </c>
      <c r="E197" s="26" t="s">
        <v>83</v>
      </c>
      <c r="F197" s="26">
        <v>4</v>
      </c>
      <c r="G197" s="28">
        <v>1400</v>
      </c>
      <c r="H197" s="29" t="str">
        <f t="shared" si="10"/>
        <v>vừa</v>
      </c>
      <c r="I197" s="28">
        <v>100</v>
      </c>
      <c r="J197" s="28">
        <v>100</v>
      </c>
      <c r="K197" s="54"/>
      <c r="L197" s="55"/>
      <c r="M197" s="56"/>
      <c r="N197" s="56"/>
      <c r="O197" s="56"/>
      <c r="P197" s="56"/>
      <c r="Q197" s="55">
        <f t="shared" si="12"/>
        <v>5600</v>
      </c>
      <c r="R197" s="56"/>
      <c r="S197" s="56"/>
    </row>
    <row r="198" spans="1:19" s="57" customFormat="1" ht="19.899999999999999" customHeight="1" outlineLevel="1" x14ac:dyDescent="0.25">
      <c r="A198" s="1">
        <f>IF(B198&gt;0,SUM(MAX($A$10:A197),1),0)</f>
        <v>109</v>
      </c>
      <c r="B198" s="26">
        <v>75</v>
      </c>
      <c r="C198" s="27" t="s">
        <v>317</v>
      </c>
      <c r="D198" s="26" t="s">
        <v>315</v>
      </c>
      <c r="E198" s="26" t="s">
        <v>83</v>
      </c>
      <c r="F198" s="26">
        <v>2</v>
      </c>
      <c r="G198" s="28">
        <v>1200</v>
      </c>
      <c r="H198" s="29" t="str">
        <f t="shared" si="10"/>
        <v>nhỏ</v>
      </c>
      <c r="I198" s="28">
        <v>70</v>
      </c>
      <c r="J198" s="28">
        <v>70</v>
      </c>
      <c r="K198" s="54"/>
      <c r="L198" s="55"/>
      <c r="M198" s="56"/>
      <c r="N198" s="56"/>
      <c r="O198" s="56"/>
      <c r="P198" s="56"/>
      <c r="Q198" s="55">
        <f t="shared" si="12"/>
        <v>2400</v>
      </c>
      <c r="R198" s="56"/>
      <c r="S198" s="56"/>
    </row>
    <row r="199" spans="1:19" s="57" customFormat="1" ht="19.899999999999999" customHeight="1" outlineLevel="1" x14ac:dyDescent="0.25">
      <c r="A199" s="1">
        <f>IF(B199&gt;0,SUM(MAX($A$10:A198),1),0)</f>
        <v>110</v>
      </c>
      <c r="B199" s="26">
        <v>76</v>
      </c>
      <c r="C199" s="27" t="s">
        <v>318</v>
      </c>
      <c r="D199" s="26" t="s">
        <v>161</v>
      </c>
      <c r="E199" s="26" t="s">
        <v>162</v>
      </c>
      <c r="F199" s="26">
        <v>10</v>
      </c>
      <c r="G199" s="28">
        <v>2500</v>
      </c>
      <c r="H199" s="29" t="str">
        <f t="shared" si="10"/>
        <v>vừa</v>
      </c>
      <c r="I199" s="28">
        <v>340</v>
      </c>
      <c r="J199" s="28">
        <v>340</v>
      </c>
      <c r="K199" s="54"/>
      <c r="L199" s="55"/>
      <c r="M199" s="56"/>
      <c r="N199" s="56"/>
      <c r="O199" s="56"/>
      <c r="P199" s="56"/>
      <c r="Q199" s="55">
        <f t="shared" si="12"/>
        <v>25000</v>
      </c>
      <c r="R199" s="56"/>
      <c r="S199" s="56"/>
    </row>
    <row r="200" spans="1:19" s="57" customFormat="1" ht="19.899999999999999" customHeight="1" outlineLevel="1" x14ac:dyDescent="0.25">
      <c r="A200" s="1">
        <f>IF(B200&gt;0,SUM(MAX($A$10:A199),1),0)</f>
        <v>111</v>
      </c>
      <c r="B200" s="202">
        <v>77</v>
      </c>
      <c r="C200" s="204" t="s">
        <v>319</v>
      </c>
      <c r="D200" s="202" t="s">
        <v>164</v>
      </c>
      <c r="E200" s="202" t="s">
        <v>162</v>
      </c>
      <c r="F200" s="26">
        <v>3</v>
      </c>
      <c r="G200" s="28">
        <v>1000</v>
      </c>
      <c r="H200" s="208" t="str">
        <f t="shared" si="10"/>
        <v>vừa</v>
      </c>
      <c r="I200" s="212">
        <v>90</v>
      </c>
      <c r="J200" s="212">
        <v>90</v>
      </c>
      <c r="K200" s="54"/>
      <c r="L200" s="55"/>
      <c r="M200" s="56"/>
      <c r="N200" s="56"/>
      <c r="O200" s="56"/>
      <c r="P200" s="56"/>
      <c r="Q200" s="55">
        <f>F200*G200+F201*G201</f>
        <v>4200</v>
      </c>
      <c r="R200" s="56"/>
      <c r="S200" s="56"/>
    </row>
    <row r="201" spans="1:19" s="57" customFormat="1" ht="19.899999999999999" customHeight="1" outlineLevel="1" x14ac:dyDescent="0.25">
      <c r="A201" s="1">
        <f>IF(B201&gt;0,SUM(MAX($A$10:A200),1),0)</f>
        <v>0</v>
      </c>
      <c r="B201" s="203"/>
      <c r="C201" s="205"/>
      <c r="D201" s="203"/>
      <c r="E201" s="203"/>
      <c r="F201" s="26">
        <v>1</v>
      </c>
      <c r="G201" s="28">
        <v>1200</v>
      </c>
      <c r="H201" s="209"/>
      <c r="I201" s="213"/>
      <c r="J201" s="213"/>
      <c r="K201" s="54"/>
      <c r="L201" s="55"/>
      <c r="M201" s="56"/>
      <c r="N201" s="56"/>
      <c r="O201" s="56"/>
      <c r="P201" s="56"/>
      <c r="Q201" s="55"/>
      <c r="R201" s="56"/>
      <c r="S201" s="56"/>
    </row>
    <row r="202" spans="1:19" s="63" customFormat="1" ht="19.899999999999999" customHeight="1" outlineLevel="1" x14ac:dyDescent="0.25">
      <c r="A202" s="60">
        <f>IF(B202&gt;0,SUM(MAX($A$10:A201),1),0)</f>
        <v>112</v>
      </c>
      <c r="B202" s="26">
        <v>78</v>
      </c>
      <c r="C202" s="27" t="s">
        <v>320</v>
      </c>
      <c r="D202" s="26" t="s">
        <v>164</v>
      </c>
      <c r="E202" s="26" t="s">
        <v>83</v>
      </c>
      <c r="F202" s="26">
        <v>7</v>
      </c>
      <c r="G202" s="28">
        <v>1400</v>
      </c>
      <c r="H202" s="29" t="str">
        <f t="shared" si="10"/>
        <v>vừa</v>
      </c>
      <c r="I202" s="28">
        <v>160</v>
      </c>
      <c r="J202" s="28">
        <v>160</v>
      </c>
      <c r="K202" s="54"/>
      <c r="L202" s="61"/>
      <c r="M202" s="62"/>
      <c r="N202" s="62"/>
      <c r="O202" s="62"/>
      <c r="P202" s="62"/>
      <c r="Q202" s="61">
        <f t="shared" si="12"/>
        <v>9800</v>
      </c>
      <c r="R202" s="62"/>
      <c r="S202" s="62"/>
    </row>
    <row r="203" spans="1:19" s="57" customFormat="1" ht="19.899999999999999" customHeight="1" outlineLevel="1" x14ac:dyDescent="0.25">
      <c r="A203" s="1">
        <f>IF(B203&gt;0,SUM(MAX($A$10:A202),1),0)</f>
        <v>113</v>
      </c>
      <c r="B203" s="26">
        <v>79</v>
      </c>
      <c r="C203" s="27" t="s">
        <v>321</v>
      </c>
      <c r="D203" s="26" t="s">
        <v>321</v>
      </c>
      <c r="E203" s="26" t="s">
        <v>162</v>
      </c>
      <c r="F203" s="26">
        <v>9</v>
      </c>
      <c r="G203" s="28">
        <v>1000</v>
      </c>
      <c r="H203" s="29" t="str">
        <f t="shared" si="10"/>
        <v>vừa</v>
      </c>
      <c r="I203" s="28">
        <v>220</v>
      </c>
      <c r="J203" s="28">
        <v>220</v>
      </c>
      <c r="K203" s="54"/>
      <c r="L203" s="55"/>
      <c r="M203" s="56"/>
      <c r="N203" s="56"/>
      <c r="O203" s="56"/>
      <c r="P203" s="56"/>
      <c r="Q203" s="55">
        <f t="shared" si="12"/>
        <v>9000</v>
      </c>
      <c r="R203" s="56"/>
      <c r="S203" s="56"/>
    </row>
    <row r="204" spans="1:19" s="57" customFormat="1" ht="19.899999999999999" customHeight="1" outlineLevel="1" x14ac:dyDescent="0.25">
      <c r="A204" s="1">
        <f>IF(B204&gt;0,SUM(MAX($A$10:A203),1),0)</f>
        <v>114</v>
      </c>
      <c r="B204" s="26">
        <v>80</v>
      </c>
      <c r="C204" s="27" t="s">
        <v>322</v>
      </c>
      <c r="D204" s="26" t="s">
        <v>321</v>
      </c>
      <c r="E204" s="26" t="s">
        <v>162</v>
      </c>
      <c r="F204" s="26">
        <v>2</v>
      </c>
      <c r="G204" s="28">
        <v>1200</v>
      </c>
      <c r="H204" s="29" t="str">
        <f t="shared" si="10"/>
        <v>nhỏ</v>
      </c>
      <c r="I204" s="28">
        <v>80</v>
      </c>
      <c r="J204" s="28">
        <v>80</v>
      </c>
      <c r="K204" s="54"/>
      <c r="L204" s="55"/>
      <c r="M204" s="56"/>
      <c r="N204" s="56"/>
      <c r="O204" s="56"/>
      <c r="P204" s="56"/>
      <c r="Q204" s="55">
        <f t="shared" si="12"/>
        <v>2400</v>
      </c>
      <c r="R204" s="56"/>
      <c r="S204" s="56"/>
    </row>
    <row r="205" spans="1:19" s="57" customFormat="1" ht="19.899999999999999" customHeight="1" outlineLevel="1" x14ac:dyDescent="0.25">
      <c r="A205" s="1">
        <f>IF(B205&gt;0,SUM(MAX($A$10:A204),1),0)</f>
        <v>115</v>
      </c>
      <c r="B205" s="202">
        <v>81</v>
      </c>
      <c r="C205" s="204" t="s">
        <v>323</v>
      </c>
      <c r="D205" s="202" t="s">
        <v>321</v>
      </c>
      <c r="E205" s="202" t="s">
        <v>162</v>
      </c>
      <c r="F205" s="26">
        <v>1</v>
      </c>
      <c r="G205" s="28">
        <v>1400</v>
      </c>
      <c r="H205" s="208" t="str">
        <f t="shared" si="10"/>
        <v>vừa</v>
      </c>
      <c r="I205" s="212">
        <v>100</v>
      </c>
      <c r="J205" s="212">
        <v>100</v>
      </c>
      <c r="K205" s="54"/>
      <c r="L205" s="55"/>
      <c r="M205" s="56"/>
      <c r="N205" s="56"/>
      <c r="O205" s="56"/>
      <c r="P205" s="56"/>
      <c r="Q205" s="55">
        <f>F205*G205+F206*G206</f>
        <v>5400</v>
      </c>
      <c r="R205" s="56"/>
      <c r="S205" s="56"/>
    </row>
    <row r="206" spans="1:19" s="57" customFormat="1" ht="19.899999999999999" customHeight="1" outlineLevel="1" x14ac:dyDescent="0.25">
      <c r="A206" s="1">
        <f>IF(B206&gt;0,SUM(MAX($A$10:A205),1),0)</f>
        <v>0</v>
      </c>
      <c r="B206" s="203"/>
      <c r="C206" s="205"/>
      <c r="D206" s="203"/>
      <c r="E206" s="203"/>
      <c r="F206" s="26">
        <v>2</v>
      </c>
      <c r="G206" s="28">
        <v>2000</v>
      </c>
      <c r="H206" s="209"/>
      <c r="I206" s="213"/>
      <c r="J206" s="213"/>
      <c r="K206" s="54"/>
      <c r="L206" s="55"/>
      <c r="M206" s="56"/>
      <c r="N206" s="56"/>
      <c r="O206" s="56"/>
      <c r="P206" s="56"/>
      <c r="Q206" s="55"/>
      <c r="R206" s="56"/>
      <c r="S206" s="56"/>
    </row>
    <row r="207" spans="1:19" s="57" customFormat="1" ht="19.899999999999999" customHeight="1" outlineLevel="1" x14ac:dyDescent="0.25">
      <c r="A207" s="1">
        <f>IF(B207&gt;0,SUM(MAX($A$10:A206),1),0)</f>
        <v>116</v>
      </c>
      <c r="B207" s="26">
        <v>82</v>
      </c>
      <c r="C207" s="27" t="s">
        <v>324</v>
      </c>
      <c r="D207" s="26" t="s">
        <v>174</v>
      </c>
      <c r="E207" s="26" t="s">
        <v>175</v>
      </c>
      <c r="F207" s="26">
        <v>2</v>
      </c>
      <c r="G207" s="28">
        <v>980</v>
      </c>
      <c r="H207" s="29" t="str">
        <f t="shared" si="10"/>
        <v>nhỏ</v>
      </c>
      <c r="I207" s="28">
        <v>140</v>
      </c>
      <c r="J207" s="28">
        <v>140</v>
      </c>
      <c r="K207" s="54"/>
      <c r="L207" s="55"/>
      <c r="M207" s="56"/>
      <c r="N207" s="56"/>
      <c r="O207" s="56"/>
      <c r="P207" s="56"/>
      <c r="Q207" s="55">
        <f t="shared" si="12"/>
        <v>1960</v>
      </c>
      <c r="R207" s="56"/>
      <c r="S207" s="56"/>
    </row>
    <row r="208" spans="1:19" s="57" customFormat="1" ht="19.899999999999999" customHeight="1" outlineLevel="1" x14ac:dyDescent="0.25">
      <c r="A208" s="1">
        <f>IF(B208&gt;0,SUM(MAX($A$10:A207),1),0)</f>
        <v>117</v>
      </c>
      <c r="B208" s="202">
        <v>83</v>
      </c>
      <c r="C208" s="204" t="s">
        <v>325</v>
      </c>
      <c r="D208" s="202" t="s">
        <v>213</v>
      </c>
      <c r="E208" s="202" t="s">
        <v>162</v>
      </c>
      <c r="F208" s="26">
        <v>2</v>
      </c>
      <c r="G208" s="28">
        <v>1200</v>
      </c>
      <c r="H208" s="208" t="str">
        <f t="shared" si="10"/>
        <v>vừa</v>
      </c>
      <c r="I208" s="212">
        <v>95</v>
      </c>
      <c r="J208" s="212">
        <v>95</v>
      </c>
      <c r="K208" s="54"/>
      <c r="L208" s="55"/>
      <c r="M208" s="56"/>
      <c r="N208" s="56"/>
      <c r="O208" s="56"/>
      <c r="P208" s="56"/>
      <c r="Q208" s="55">
        <f>F208*G208+F209*G209</f>
        <v>6320</v>
      </c>
      <c r="R208" s="56"/>
      <c r="S208" s="56"/>
    </row>
    <row r="209" spans="1:19" s="57" customFormat="1" outlineLevel="1" x14ac:dyDescent="0.25">
      <c r="A209" s="1">
        <f>IF(B209&gt;0,SUM(MAX($A$10:A208),1),0)</f>
        <v>0</v>
      </c>
      <c r="B209" s="203"/>
      <c r="C209" s="205"/>
      <c r="D209" s="203"/>
      <c r="E209" s="203"/>
      <c r="F209" s="26">
        <v>4</v>
      </c>
      <c r="G209" s="28">
        <v>980</v>
      </c>
      <c r="H209" s="209"/>
      <c r="I209" s="213"/>
      <c r="J209" s="213"/>
      <c r="K209" s="54"/>
      <c r="L209" s="55"/>
      <c r="M209" s="56"/>
      <c r="N209" s="56"/>
      <c r="O209" s="56"/>
      <c r="P209" s="56"/>
      <c r="Q209" s="55"/>
      <c r="R209" s="56"/>
      <c r="S209" s="56"/>
    </row>
    <row r="210" spans="1:19" s="57" customFormat="1" ht="19.899999999999999" customHeight="1" outlineLevel="1" x14ac:dyDescent="0.25">
      <c r="A210" s="1">
        <f>IF(B210&gt;0,SUM(MAX($A$10:A209),1),0)</f>
        <v>118</v>
      </c>
      <c r="B210" s="202">
        <v>84</v>
      </c>
      <c r="C210" s="204" t="s">
        <v>326</v>
      </c>
      <c r="D210" s="202" t="s">
        <v>213</v>
      </c>
      <c r="E210" s="202" t="s">
        <v>162</v>
      </c>
      <c r="F210" s="26">
        <v>2</v>
      </c>
      <c r="G210" s="28">
        <v>1950</v>
      </c>
      <c r="H210" s="208" t="str">
        <f t="shared" si="10"/>
        <v>vừa</v>
      </c>
      <c r="I210" s="212">
        <v>135</v>
      </c>
      <c r="J210" s="212">
        <v>135</v>
      </c>
      <c r="K210" s="54"/>
      <c r="L210" s="55"/>
      <c r="M210" s="56"/>
      <c r="N210" s="56"/>
      <c r="O210" s="56"/>
      <c r="P210" s="56"/>
      <c r="Q210" s="55">
        <f>F210*G210+F211*G211</f>
        <v>4880</v>
      </c>
      <c r="R210" s="56"/>
      <c r="S210" s="56"/>
    </row>
    <row r="211" spans="1:19" s="57" customFormat="1" outlineLevel="1" x14ac:dyDescent="0.25">
      <c r="A211" s="1">
        <f>IF(B211&gt;0,SUM(MAX($A$10:A210),1),0)</f>
        <v>0</v>
      </c>
      <c r="B211" s="203"/>
      <c r="C211" s="205"/>
      <c r="D211" s="203"/>
      <c r="E211" s="203"/>
      <c r="F211" s="26">
        <v>1</v>
      </c>
      <c r="G211" s="28">
        <v>980</v>
      </c>
      <c r="H211" s="209"/>
      <c r="I211" s="213"/>
      <c r="J211" s="213"/>
      <c r="K211" s="54"/>
      <c r="L211" s="55"/>
      <c r="M211" s="56"/>
      <c r="N211" s="56"/>
      <c r="O211" s="56"/>
      <c r="P211" s="56"/>
      <c r="Q211" s="55"/>
      <c r="R211" s="56"/>
      <c r="S211" s="56"/>
    </row>
    <row r="212" spans="1:19" s="57" customFormat="1" ht="19.899999999999999" customHeight="1" outlineLevel="1" x14ac:dyDescent="0.25">
      <c r="A212" s="1">
        <f>IF(B212&gt;0,SUM(MAX($A$10:A211),1),0)</f>
        <v>119</v>
      </c>
      <c r="B212" s="26">
        <v>85</v>
      </c>
      <c r="C212" s="27" t="s">
        <v>327</v>
      </c>
      <c r="D212" s="26" t="s">
        <v>213</v>
      </c>
      <c r="E212" s="26" t="s">
        <v>162</v>
      </c>
      <c r="F212" s="26">
        <v>2</v>
      </c>
      <c r="G212" s="28">
        <v>980</v>
      </c>
      <c r="H212" s="29" t="str">
        <f t="shared" si="10"/>
        <v>nhỏ</v>
      </c>
      <c r="I212" s="28">
        <v>80</v>
      </c>
      <c r="J212" s="28">
        <v>80</v>
      </c>
      <c r="K212" s="54"/>
      <c r="L212" s="55"/>
      <c r="M212" s="56"/>
      <c r="N212" s="56"/>
      <c r="O212" s="56"/>
      <c r="P212" s="56"/>
      <c r="Q212" s="55">
        <f>F212*G212</f>
        <v>1960</v>
      </c>
      <c r="R212" s="56"/>
      <c r="S212" s="56"/>
    </row>
    <row r="213" spans="1:19" s="57" customFormat="1" ht="19.899999999999999" customHeight="1" outlineLevel="1" x14ac:dyDescent="0.25">
      <c r="A213" s="1">
        <f>IF(B213&gt;0,SUM(MAX($A$10:A212),1),0)</f>
        <v>120</v>
      </c>
      <c r="B213" s="26">
        <v>86</v>
      </c>
      <c r="C213" s="27" t="s">
        <v>328</v>
      </c>
      <c r="D213" s="26" t="s">
        <v>213</v>
      </c>
      <c r="E213" s="26" t="s">
        <v>162</v>
      </c>
      <c r="F213" s="26">
        <v>2</v>
      </c>
      <c r="G213" s="28">
        <v>1000</v>
      </c>
      <c r="H213" s="29" t="str">
        <f t="shared" si="10"/>
        <v>nhỏ</v>
      </c>
      <c r="I213" s="28">
        <v>50</v>
      </c>
      <c r="J213" s="28">
        <v>50</v>
      </c>
      <c r="K213" s="54"/>
      <c r="L213" s="55"/>
      <c r="M213" s="56"/>
      <c r="N213" s="56"/>
      <c r="O213" s="56"/>
      <c r="P213" s="56"/>
      <c r="Q213" s="55">
        <f t="shared" ref="Q213:Q219" si="13">F213*G213</f>
        <v>2000</v>
      </c>
      <c r="R213" s="56"/>
      <c r="S213" s="56"/>
    </row>
    <row r="214" spans="1:19" s="57" customFormat="1" ht="19.899999999999999" customHeight="1" outlineLevel="1" x14ac:dyDescent="0.25">
      <c r="A214" s="1">
        <f>IF(B214&gt;0,SUM(MAX($A$10:A213),1),0)</f>
        <v>121</v>
      </c>
      <c r="B214" s="26">
        <v>87</v>
      </c>
      <c r="C214" s="27" t="s">
        <v>329</v>
      </c>
      <c r="D214" s="26" t="s">
        <v>213</v>
      </c>
      <c r="E214" s="26" t="s">
        <v>175</v>
      </c>
      <c r="F214" s="26">
        <v>4</v>
      </c>
      <c r="G214" s="28">
        <v>980</v>
      </c>
      <c r="H214" s="29" t="str">
        <f t="shared" si="10"/>
        <v>vừa</v>
      </c>
      <c r="I214" s="28">
        <v>135</v>
      </c>
      <c r="J214" s="28">
        <v>135</v>
      </c>
      <c r="K214" s="54"/>
      <c r="L214" s="55"/>
      <c r="M214" s="56"/>
      <c r="N214" s="56"/>
      <c r="O214" s="56"/>
      <c r="P214" s="56"/>
      <c r="Q214" s="55">
        <f t="shared" si="13"/>
        <v>3920</v>
      </c>
      <c r="R214" s="56"/>
      <c r="S214" s="56"/>
    </row>
    <row r="215" spans="1:19" s="57" customFormat="1" ht="19.899999999999999" customHeight="1" outlineLevel="1" x14ac:dyDescent="0.25">
      <c r="A215" s="1">
        <f>IF(B215&gt;0,SUM(MAX($A$10:A214),1),0)</f>
        <v>122</v>
      </c>
      <c r="B215" s="26">
        <v>88</v>
      </c>
      <c r="C215" s="27" t="s">
        <v>330</v>
      </c>
      <c r="D215" s="26" t="s">
        <v>184</v>
      </c>
      <c r="E215" s="26" t="s">
        <v>175</v>
      </c>
      <c r="F215" s="26">
        <v>4</v>
      </c>
      <c r="G215" s="28">
        <v>980</v>
      </c>
      <c r="H215" s="29" t="str">
        <f t="shared" si="10"/>
        <v>vừa</v>
      </c>
      <c r="I215" s="28">
        <v>195</v>
      </c>
      <c r="J215" s="28">
        <v>195</v>
      </c>
      <c r="K215" s="54"/>
      <c r="L215" s="55"/>
      <c r="M215" s="56"/>
      <c r="N215" s="56"/>
      <c r="O215" s="56"/>
      <c r="P215" s="56"/>
      <c r="Q215" s="55">
        <f t="shared" si="13"/>
        <v>3920</v>
      </c>
      <c r="R215" s="56"/>
      <c r="S215" s="56"/>
    </row>
    <row r="216" spans="1:19" s="57" customFormat="1" ht="19.899999999999999" customHeight="1" outlineLevel="1" x14ac:dyDescent="0.25">
      <c r="A216" s="1">
        <f>IF(B216&gt;0,SUM(MAX($A$10:A215),1),0)</f>
        <v>123</v>
      </c>
      <c r="B216" s="26">
        <v>89</v>
      </c>
      <c r="C216" s="27" t="s">
        <v>331</v>
      </c>
      <c r="D216" s="26" t="s">
        <v>184</v>
      </c>
      <c r="E216" s="26" t="s">
        <v>158</v>
      </c>
      <c r="F216" s="26">
        <v>4</v>
      </c>
      <c r="G216" s="28">
        <v>4000</v>
      </c>
      <c r="H216" s="29" t="str">
        <f t="shared" si="10"/>
        <v>vừa</v>
      </c>
      <c r="I216" s="28">
        <v>210</v>
      </c>
      <c r="J216" s="28">
        <v>210</v>
      </c>
      <c r="K216" s="28" t="s">
        <v>190</v>
      </c>
      <c r="L216" s="55"/>
      <c r="M216" s="56"/>
      <c r="N216" s="56"/>
      <c r="O216" s="56"/>
      <c r="P216" s="56"/>
      <c r="Q216" s="55">
        <f t="shared" si="13"/>
        <v>16000</v>
      </c>
      <c r="R216" s="56"/>
      <c r="S216" s="56"/>
    </row>
    <row r="217" spans="1:19" s="57" customFormat="1" ht="19.899999999999999" customHeight="1" outlineLevel="1" x14ac:dyDescent="0.25">
      <c r="A217" s="1">
        <f>IF(B217&gt;0,SUM(MAX($A$10:A216),1),0)</f>
        <v>124</v>
      </c>
      <c r="B217" s="202">
        <v>90</v>
      </c>
      <c r="C217" s="204" t="s">
        <v>332</v>
      </c>
      <c r="D217" s="202" t="s">
        <v>184</v>
      </c>
      <c r="E217" s="202" t="s">
        <v>217</v>
      </c>
      <c r="F217" s="26">
        <v>2</v>
      </c>
      <c r="G217" s="28">
        <v>2500</v>
      </c>
      <c r="H217" s="208" t="str">
        <f t="shared" ref="H217:H226" si="14">IF(AND(Q217&lt;3600,Q217&gt;0),"nhỏ",IF(AND(Q217&gt;=3600,Q217&lt;72000),"vừa",IF(Q217&lt;&gt;0,"lớn",0)))</f>
        <v>vừa</v>
      </c>
      <c r="I217" s="220">
        <v>150</v>
      </c>
      <c r="J217" s="220">
        <v>150</v>
      </c>
      <c r="K217" s="54"/>
      <c r="L217" s="55"/>
      <c r="M217" s="56"/>
      <c r="N217" s="56"/>
      <c r="O217" s="56"/>
      <c r="P217" s="56"/>
      <c r="Q217" s="55">
        <f>F217*G217+F218*G218</f>
        <v>6200</v>
      </c>
      <c r="R217" s="56"/>
      <c r="S217" s="56"/>
    </row>
    <row r="218" spans="1:19" s="57" customFormat="1" outlineLevel="1" x14ac:dyDescent="0.25">
      <c r="A218" s="1">
        <f>IF(B218&gt;0,SUM(MAX($A$10:A217),1),0)</f>
        <v>0</v>
      </c>
      <c r="B218" s="203"/>
      <c r="C218" s="205"/>
      <c r="D218" s="203"/>
      <c r="E218" s="203"/>
      <c r="F218" s="26">
        <v>1</v>
      </c>
      <c r="G218" s="28">
        <v>1200</v>
      </c>
      <c r="H218" s="209"/>
      <c r="I218" s="221"/>
      <c r="J218" s="221"/>
      <c r="K218" s="54"/>
      <c r="L218" s="55"/>
      <c r="M218" s="56"/>
      <c r="N218" s="56"/>
      <c r="O218" s="56"/>
      <c r="P218" s="56"/>
      <c r="Q218" s="55"/>
      <c r="R218" s="56"/>
      <c r="S218" s="56"/>
    </row>
    <row r="219" spans="1:19" s="57" customFormat="1" ht="19.899999999999999" customHeight="1" outlineLevel="1" x14ac:dyDescent="0.25">
      <c r="A219" s="1">
        <f>IF(B219&gt;0,SUM(MAX($A$10:A218),1),0)</f>
        <v>125</v>
      </c>
      <c r="B219" s="26">
        <v>91</v>
      </c>
      <c r="C219" s="27" t="s">
        <v>333</v>
      </c>
      <c r="D219" s="26" t="s">
        <v>197</v>
      </c>
      <c r="E219" s="26" t="s">
        <v>217</v>
      </c>
      <c r="F219" s="26">
        <v>2</v>
      </c>
      <c r="G219" s="28">
        <v>980</v>
      </c>
      <c r="H219" s="29" t="str">
        <f t="shared" si="14"/>
        <v>nhỏ</v>
      </c>
      <c r="I219" s="28">
        <v>140</v>
      </c>
      <c r="J219" s="28">
        <v>140</v>
      </c>
      <c r="K219" s="54"/>
      <c r="L219" s="55"/>
      <c r="M219" s="56"/>
      <c r="N219" s="56"/>
      <c r="O219" s="56"/>
      <c r="P219" s="56"/>
      <c r="Q219" s="55">
        <f t="shared" si="13"/>
        <v>1960</v>
      </c>
      <c r="R219" s="56"/>
      <c r="S219" s="56"/>
    </row>
    <row r="220" spans="1:19" s="57" customFormat="1" outlineLevel="1" x14ac:dyDescent="0.25">
      <c r="A220" s="1">
        <f>IF(B220&gt;0,SUM(MAX($A$10:A219),1),0)</f>
        <v>126</v>
      </c>
      <c r="B220" s="202">
        <v>92</v>
      </c>
      <c r="C220" s="204" t="s">
        <v>334</v>
      </c>
      <c r="D220" s="202" t="s">
        <v>335</v>
      </c>
      <c r="E220" s="202" t="s">
        <v>162</v>
      </c>
      <c r="F220" s="26">
        <v>1</v>
      </c>
      <c r="G220" s="28">
        <v>980</v>
      </c>
      <c r="H220" s="208" t="str">
        <f t="shared" si="14"/>
        <v>nhỏ</v>
      </c>
      <c r="I220" s="212">
        <v>75</v>
      </c>
      <c r="J220" s="212">
        <v>75</v>
      </c>
      <c r="K220" s="54"/>
      <c r="L220" s="55"/>
      <c r="M220" s="56"/>
      <c r="N220" s="56"/>
      <c r="O220" s="56"/>
      <c r="P220" s="56"/>
      <c r="Q220" s="55">
        <f>F220*G220+F221*G221</f>
        <v>1520</v>
      </c>
      <c r="R220" s="56"/>
      <c r="S220" s="56"/>
    </row>
    <row r="221" spans="1:19" s="57" customFormat="1" outlineLevel="1" x14ac:dyDescent="0.25">
      <c r="A221" s="1">
        <f>IF(B221&gt;0,SUM(MAX($A$10:A220),1),0)</f>
        <v>0</v>
      </c>
      <c r="B221" s="203"/>
      <c r="C221" s="205"/>
      <c r="D221" s="203"/>
      <c r="E221" s="203"/>
      <c r="F221" s="26">
        <v>1</v>
      </c>
      <c r="G221" s="28">
        <v>540</v>
      </c>
      <c r="H221" s="209"/>
      <c r="I221" s="213"/>
      <c r="J221" s="213"/>
      <c r="K221" s="54"/>
      <c r="L221" s="55"/>
      <c r="M221" s="56"/>
      <c r="N221" s="56"/>
      <c r="O221" s="56"/>
      <c r="P221" s="56"/>
      <c r="Q221" s="55"/>
      <c r="R221" s="56"/>
      <c r="S221" s="56"/>
    </row>
    <row r="222" spans="1:19" s="57" customFormat="1" ht="19.899999999999999" customHeight="1" outlineLevel="1" x14ac:dyDescent="0.25">
      <c r="A222" s="1">
        <f>IF(B222&gt;0,SUM(MAX($A$10:A221),1),0)</f>
        <v>127</v>
      </c>
      <c r="B222" s="26">
        <v>93</v>
      </c>
      <c r="C222" s="27" t="s">
        <v>336</v>
      </c>
      <c r="D222" s="26" t="s">
        <v>335</v>
      </c>
      <c r="E222" s="26" t="s">
        <v>162</v>
      </c>
      <c r="F222" s="26">
        <v>3</v>
      </c>
      <c r="G222" s="28">
        <v>980</v>
      </c>
      <c r="H222" s="29" t="str">
        <f t="shared" si="14"/>
        <v>nhỏ</v>
      </c>
      <c r="I222" s="28">
        <v>130</v>
      </c>
      <c r="J222" s="28">
        <v>130</v>
      </c>
      <c r="K222" s="54"/>
      <c r="L222" s="55"/>
      <c r="M222" s="56"/>
      <c r="N222" s="56"/>
      <c r="O222" s="56"/>
      <c r="P222" s="56"/>
      <c r="Q222" s="55">
        <f>F222*G222</f>
        <v>2940</v>
      </c>
      <c r="R222" s="56"/>
      <c r="S222" s="56"/>
    </row>
    <row r="223" spans="1:19" s="57" customFormat="1" ht="19.899999999999999" customHeight="1" outlineLevel="1" x14ac:dyDescent="0.25">
      <c r="A223" s="1">
        <f>IF(B223&gt;0,SUM(MAX($A$10:A222),1),0)</f>
        <v>128</v>
      </c>
      <c r="B223" s="26">
        <v>94</v>
      </c>
      <c r="C223" s="27" t="s">
        <v>337</v>
      </c>
      <c r="D223" s="26" t="s">
        <v>335</v>
      </c>
      <c r="E223" s="26" t="s">
        <v>175</v>
      </c>
      <c r="F223" s="26">
        <v>3</v>
      </c>
      <c r="G223" s="28">
        <v>1400</v>
      </c>
      <c r="H223" s="29" t="str">
        <f t="shared" si="14"/>
        <v>vừa</v>
      </c>
      <c r="I223" s="28">
        <v>70</v>
      </c>
      <c r="J223" s="28">
        <v>70</v>
      </c>
      <c r="K223" s="54"/>
      <c r="L223" s="55"/>
      <c r="M223" s="56"/>
      <c r="N223" s="56"/>
      <c r="O223" s="56"/>
      <c r="P223" s="56"/>
      <c r="Q223" s="55">
        <f>F223*G223</f>
        <v>4200</v>
      </c>
      <c r="R223" s="56"/>
      <c r="S223" s="56"/>
    </row>
    <row r="224" spans="1:19" s="53" customFormat="1" ht="19.899999999999999" customHeight="1" x14ac:dyDescent="0.25">
      <c r="A224" s="1">
        <f>IF(B224&gt;0,SUM(MAX($A$10:A223),1),0)</f>
        <v>129</v>
      </c>
      <c r="B224" s="202">
        <v>95</v>
      </c>
      <c r="C224" s="204" t="s">
        <v>338</v>
      </c>
      <c r="D224" s="202" t="s">
        <v>335</v>
      </c>
      <c r="E224" s="202" t="s">
        <v>175</v>
      </c>
      <c r="F224" s="26">
        <v>1</v>
      </c>
      <c r="G224" s="28">
        <v>1200</v>
      </c>
      <c r="H224" s="208" t="str">
        <f t="shared" si="14"/>
        <v>nhỏ</v>
      </c>
      <c r="I224" s="220">
        <v>65</v>
      </c>
      <c r="J224" s="220">
        <v>65</v>
      </c>
      <c r="K224" s="50"/>
      <c r="L224" s="51"/>
      <c r="M224" s="52"/>
      <c r="N224" s="52"/>
      <c r="O224" s="52"/>
      <c r="P224" s="52"/>
      <c r="Q224" s="55">
        <f>F224*G224+F225*G225</f>
        <v>2180</v>
      </c>
      <c r="R224" s="52"/>
      <c r="S224" s="52"/>
    </row>
    <row r="225" spans="1:19" s="57" customFormat="1" outlineLevel="1" x14ac:dyDescent="0.25">
      <c r="A225" s="1">
        <f>IF(B225&gt;0,SUM(MAX($A$10:A224),1),0)</f>
        <v>0</v>
      </c>
      <c r="B225" s="203"/>
      <c r="C225" s="205"/>
      <c r="D225" s="203"/>
      <c r="E225" s="203"/>
      <c r="F225" s="26">
        <v>1</v>
      </c>
      <c r="G225" s="28">
        <v>980</v>
      </c>
      <c r="H225" s="209"/>
      <c r="I225" s="221"/>
      <c r="J225" s="221"/>
      <c r="K225" s="54"/>
      <c r="L225" s="55"/>
      <c r="M225" s="56"/>
      <c r="N225" s="56"/>
      <c r="O225" s="56"/>
      <c r="P225" s="56"/>
      <c r="Q225" s="55"/>
      <c r="R225" s="56"/>
      <c r="S225" s="56"/>
    </row>
    <row r="226" spans="1:19" s="57" customFormat="1" ht="19.899999999999999" customHeight="1" outlineLevel="1" x14ac:dyDescent="0.25">
      <c r="A226" s="1">
        <f>IF(B226&gt;0,SUM(MAX($A$10:A225),1),0)</f>
        <v>130</v>
      </c>
      <c r="B226" s="26">
        <v>96</v>
      </c>
      <c r="C226" s="27" t="s">
        <v>339</v>
      </c>
      <c r="D226" s="26" t="s">
        <v>335</v>
      </c>
      <c r="E226" s="26" t="s">
        <v>175</v>
      </c>
      <c r="F226" s="26">
        <v>4</v>
      </c>
      <c r="G226" s="28">
        <v>2100</v>
      </c>
      <c r="H226" s="29" t="str">
        <f t="shared" si="14"/>
        <v>vừa</v>
      </c>
      <c r="I226" s="28">
        <v>831</v>
      </c>
      <c r="J226" s="28">
        <v>831</v>
      </c>
      <c r="K226" s="54"/>
      <c r="L226" s="55"/>
      <c r="M226" s="56"/>
      <c r="N226" s="56"/>
      <c r="O226" s="56"/>
      <c r="P226" s="56"/>
      <c r="Q226" s="55">
        <f>F226*G226</f>
        <v>8400</v>
      </c>
      <c r="R226" s="56"/>
      <c r="S226" s="56"/>
    </row>
    <row r="227" spans="1:19" s="68" customFormat="1" ht="19.899999999999999" customHeight="1" x14ac:dyDescent="0.25">
      <c r="A227" s="1"/>
      <c r="B227" s="64" t="s">
        <v>340</v>
      </c>
      <c r="C227" s="20" t="s">
        <v>341</v>
      </c>
      <c r="D227" s="19" t="str">
        <f>CONCATENATE(COUNT(B227:B298)," trạm")</f>
        <v>56 trạm</v>
      </c>
      <c r="E227" s="19"/>
      <c r="F227" s="65">
        <f>+F228+F254+F270</f>
        <v>282</v>
      </c>
      <c r="G227" s="31"/>
      <c r="H227" s="66"/>
      <c r="I227" s="66"/>
      <c r="J227" s="66"/>
      <c r="K227" s="66"/>
      <c r="L227" s="67">
        <f>+L228+L254+L270</f>
        <v>2</v>
      </c>
      <c r="M227" s="67">
        <f>+M228+M254+M270</f>
        <v>29</v>
      </c>
      <c r="N227" s="67">
        <f>+N228+N254+N270</f>
        <v>25</v>
      </c>
      <c r="O227" s="67"/>
      <c r="P227" s="67"/>
      <c r="Q227" s="67">
        <f>+Q228+Q254+Q270</f>
        <v>875372</v>
      </c>
      <c r="R227" s="67"/>
      <c r="S227" s="67"/>
    </row>
    <row r="228" spans="1:19" s="68" customFormat="1" ht="19.899999999999999" customHeight="1" x14ac:dyDescent="0.25">
      <c r="A228" s="1">
        <f>IF(B228&gt;0,SUM(MAX($A$10:A227),1),0)</f>
        <v>0</v>
      </c>
      <c r="B228" s="64"/>
      <c r="C228" s="20" t="s">
        <v>20</v>
      </c>
      <c r="D228" s="64" t="str">
        <f>CONCATENATE(COUNT(B227:B253)," trạm")</f>
        <v>23 trạm</v>
      </c>
      <c r="E228" s="64"/>
      <c r="F228" s="65">
        <f>+SUM(F229:F253)</f>
        <v>85</v>
      </c>
      <c r="G228" s="31"/>
      <c r="H228" s="66"/>
      <c r="I228" s="66"/>
      <c r="J228" s="66"/>
      <c r="K228" s="66"/>
      <c r="L228" s="25">
        <f>COUNTIF(H229:H253,"lớn")</f>
        <v>0</v>
      </c>
      <c r="M228" s="25">
        <f>COUNTIF(H229:H253,"vừa")</f>
        <v>11</v>
      </c>
      <c r="N228" s="25">
        <f>COUNTIF(H229:H253,"nhỏ")</f>
        <v>12</v>
      </c>
      <c r="O228" s="67"/>
      <c r="P228" s="67"/>
      <c r="Q228" s="67">
        <f>SUM(Q229:Q253)</f>
        <v>116040</v>
      </c>
      <c r="R228" s="67"/>
      <c r="S228" s="67"/>
    </row>
    <row r="229" spans="1:19" s="71" customFormat="1" ht="19.899999999999999" customHeight="1" outlineLevel="1" x14ac:dyDescent="0.25">
      <c r="A229" s="1">
        <f>IF(B229&gt;0,SUM(MAX($A$10:A228),1),0)</f>
        <v>131</v>
      </c>
      <c r="B229" s="26">
        <v>1</v>
      </c>
      <c r="C229" s="27" t="s">
        <v>342</v>
      </c>
      <c r="D229" s="26" t="s">
        <v>343</v>
      </c>
      <c r="E229" s="69" t="s">
        <v>344</v>
      </c>
      <c r="F229" s="26">
        <v>6</v>
      </c>
      <c r="G229" s="28">
        <v>980</v>
      </c>
      <c r="H229" s="29" t="str">
        <f t="shared" ref="H229:H255" si="15">IF(AND(Q229&lt;3600,Q229&gt;0),"nhỏ",IF(AND(Q229&gt;=3600,Q229&lt;72000),"vừa",IF(Q229&lt;&gt;0,"lớn",0)))</f>
        <v>vừa</v>
      </c>
      <c r="I229" s="28">
        <v>340</v>
      </c>
      <c r="J229" s="31"/>
      <c r="K229" s="31" t="s">
        <v>345</v>
      </c>
      <c r="L229" s="70"/>
      <c r="M229" s="70"/>
      <c r="N229" s="70"/>
      <c r="O229" s="70"/>
      <c r="P229" s="70"/>
      <c r="Q229" s="70">
        <f>F229*G229</f>
        <v>5880</v>
      </c>
      <c r="R229" s="70"/>
      <c r="S229" s="70"/>
    </row>
    <row r="230" spans="1:19" s="73" customFormat="1" ht="19.899999999999999" customHeight="1" outlineLevel="1" x14ac:dyDescent="0.25">
      <c r="A230" s="1">
        <f>IF(B230&gt;0,SUM(MAX($A$10:A229),1),0)</f>
        <v>132</v>
      </c>
      <c r="B230" s="26">
        <v>2</v>
      </c>
      <c r="C230" s="27" t="s">
        <v>346</v>
      </c>
      <c r="D230" s="26" t="s">
        <v>346</v>
      </c>
      <c r="E230" s="69" t="s">
        <v>344</v>
      </c>
      <c r="F230" s="26">
        <v>4</v>
      </c>
      <c r="G230" s="28">
        <v>980</v>
      </c>
      <c r="H230" s="29" t="str">
        <f t="shared" si="15"/>
        <v>vừa</v>
      </c>
      <c r="I230" s="28">
        <v>320</v>
      </c>
      <c r="J230" s="31"/>
      <c r="K230" s="31" t="s">
        <v>347</v>
      </c>
      <c r="L230" s="72"/>
      <c r="M230" s="72"/>
      <c r="N230" s="72"/>
      <c r="O230" s="72"/>
      <c r="P230" s="72"/>
      <c r="Q230" s="70">
        <f t="shared" ref="Q230:Q238" si="16">F230*G230</f>
        <v>3920</v>
      </c>
      <c r="R230" s="72"/>
      <c r="S230" s="72"/>
    </row>
    <row r="231" spans="1:19" s="73" customFormat="1" ht="19.899999999999999" customHeight="1" outlineLevel="1" x14ac:dyDescent="0.25">
      <c r="A231" s="1">
        <f>IF(B231&gt;0,SUM(MAX($A$10:A230),1),0)</f>
        <v>133</v>
      </c>
      <c r="B231" s="26">
        <v>3</v>
      </c>
      <c r="C231" s="27" t="s">
        <v>348</v>
      </c>
      <c r="D231" s="26" t="s">
        <v>346</v>
      </c>
      <c r="E231" s="69" t="s">
        <v>344</v>
      </c>
      <c r="F231" s="26">
        <v>4</v>
      </c>
      <c r="G231" s="28">
        <v>4300</v>
      </c>
      <c r="H231" s="29" t="str">
        <f t="shared" si="15"/>
        <v>vừa</v>
      </c>
      <c r="I231" s="28">
        <v>2422</v>
      </c>
      <c r="J231" s="31"/>
      <c r="K231" s="31" t="s">
        <v>349</v>
      </c>
      <c r="L231" s="72"/>
      <c r="M231" s="72"/>
      <c r="N231" s="72"/>
      <c r="O231" s="72"/>
      <c r="P231" s="72"/>
      <c r="Q231" s="70">
        <f t="shared" si="16"/>
        <v>17200</v>
      </c>
      <c r="R231" s="72"/>
      <c r="S231" s="72"/>
    </row>
    <row r="232" spans="1:19" s="73" customFormat="1" ht="19.899999999999999" customHeight="1" outlineLevel="1" x14ac:dyDescent="0.25">
      <c r="A232" s="1">
        <f>IF(B232&gt;0,SUM(MAX($A$10:A231),1),0)</f>
        <v>134</v>
      </c>
      <c r="B232" s="26">
        <v>4</v>
      </c>
      <c r="C232" s="27" t="s">
        <v>350</v>
      </c>
      <c r="D232" s="26" t="s">
        <v>351</v>
      </c>
      <c r="E232" s="69" t="s">
        <v>344</v>
      </c>
      <c r="F232" s="26">
        <v>4</v>
      </c>
      <c r="G232" s="28">
        <v>980</v>
      </c>
      <c r="H232" s="29" t="str">
        <f t="shared" si="15"/>
        <v>vừa</v>
      </c>
      <c r="I232" s="31"/>
      <c r="J232" s="31"/>
      <c r="K232" s="31" t="s">
        <v>352</v>
      </c>
      <c r="L232" s="72"/>
      <c r="M232" s="72"/>
      <c r="N232" s="72"/>
      <c r="O232" s="72"/>
      <c r="P232" s="72"/>
      <c r="Q232" s="70">
        <f t="shared" si="16"/>
        <v>3920</v>
      </c>
      <c r="R232" s="72"/>
      <c r="S232" s="72"/>
    </row>
    <row r="233" spans="1:19" s="73" customFormat="1" ht="19.899999999999999" customHeight="1" outlineLevel="1" x14ac:dyDescent="0.25">
      <c r="A233" s="1">
        <f>IF(B233&gt;0,SUM(MAX($A$10:A232),1),0)</f>
        <v>135</v>
      </c>
      <c r="B233" s="202">
        <v>5</v>
      </c>
      <c r="C233" s="204" t="s">
        <v>353</v>
      </c>
      <c r="D233" s="202" t="s">
        <v>354</v>
      </c>
      <c r="E233" s="228" t="s">
        <v>355</v>
      </c>
      <c r="F233" s="26">
        <v>2</v>
      </c>
      <c r="G233" s="28">
        <v>980</v>
      </c>
      <c r="H233" s="208" t="str">
        <f t="shared" si="15"/>
        <v>vừa</v>
      </c>
      <c r="I233" s="212">
        <v>745</v>
      </c>
      <c r="J233" s="29"/>
      <c r="K233" s="69"/>
      <c r="L233" s="72"/>
      <c r="M233" s="72"/>
      <c r="N233" s="72"/>
      <c r="O233" s="72"/>
      <c r="P233" s="72"/>
      <c r="Q233" s="70">
        <f>F233*G233+F234*G234</f>
        <v>4200</v>
      </c>
      <c r="R233" s="72"/>
      <c r="S233" s="72"/>
    </row>
    <row r="234" spans="1:19" s="73" customFormat="1" ht="19.899999999999999" customHeight="1" outlineLevel="1" x14ac:dyDescent="0.25">
      <c r="A234" s="1">
        <f>IF(B234&gt;0,SUM(MAX($A$10:A233),1),0)</f>
        <v>0</v>
      </c>
      <c r="B234" s="203"/>
      <c r="C234" s="205"/>
      <c r="D234" s="203"/>
      <c r="E234" s="229"/>
      <c r="F234" s="26">
        <v>2</v>
      </c>
      <c r="G234" s="28">
        <v>1120</v>
      </c>
      <c r="H234" s="209"/>
      <c r="I234" s="213"/>
      <c r="J234" s="29"/>
      <c r="K234" s="69"/>
      <c r="L234" s="72"/>
      <c r="M234" s="72"/>
      <c r="N234" s="72"/>
      <c r="O234" s="72"/>
      <c r="P234" s="72"/>
      <c r="Q234" s="72"/>
      <c r="R234" s="72"/>
      <c r="S234" s="72"/>
    </row>
    <row r="235" spans="1:19" s="73" customFormat="1" ht="19.899999999999999" customHeight="1" outlineLevel="1" x14ac:dyDescent="0.25">
      <c r="A235" s="1">
        <f>IF(B235&gt;0,SUM(MAX($A$10:A234),1),0)</f>
        <v>136</v>
      </c>
      <c r="B235" s="26">
        <v>6</v>
      </c>
      <c r="C235" s="27" t="s">
        <v>356</v>
      </c>
      <c r="D235" s="26" t="s">
        <v>357</v>
      </c>
      <c r="E235" s="69" t="s">
        <v>224</v>
      </c>
      <c r="F235" s="26">
        <v>5</v>
      </c>
      <c r="G235" s="28">
        <v>1120</v>
      </c>
      <c r="H235" s="29" t="str">
        <f t="shared" si="15"/>
        <v>vừa</v>
      </c>
      <c r="I235" s="28">
        <v>500</v>
      </c>
      <c r="J235" s="31"/>
      <c r="K235" s="31" t="s">
        <v>358</v>
      </c>
      <c r="L235" s="72"/>
      <c r="M235" s="72"/>
      <c r="N235" s="72"/>
      <c r="O235" s="72"/>
      <c r="P235" s="72"/>
      <c r="Q235" s="70">
        <f t="shared" si="16"/>
        <v>5600</v>
      </c>
      <c r="R235" s="72"/>
      <c r="S235" s="72"/>
    </row>
    <row r="236" spans="1:19" s="73" customFormat="1" ht="19.899999999999999" customHeight="1" outlineLevel="1" x14ac:dyDescent="0.25">
      <c r="A236" s="1">
        <f>IF(B236&gt;0,SUM(MAX($A$10:A235),1),0)</f>
        <v>137</v>
      </c>
      <c r="B236" s="26">
        <v>7</v>
      </c>
      <c r="C236" s="27" t="s">
        <v>359</v>
      </c>
      <c r="D236" s="26" t="s">
        <v>357</v>
      </c>
      <c r="E236" s="69" t="s">
        <v>224</v>
      </c>
      <c r="F236" s="26">
        <v>6</v>
      </c>
      <c r="G236" s="28">
        <v>1400</v>
      </c>
      <c r="H236" s="29" t="str">
        <f t="shared" si="15"/>
        <v>vừa</v>
      </c>
      <c r="I236" s="28">
        <v>680</v>
      </c>
      <c r="J236" s="31"/>
      <c r="K236" s="31" t="s">
        <v>360</v>
      </c>
      <c r="L236" s="72"/>
      <c r="M236" s="72"/>
      <c r="N236" s="72"/>
      <c r="O236" s="72"/>
      <c r="P236" s="72"/>
      <c r="Q236" s="70">
        <f t="shared" si="16"/>
        <v>8400</v>
      </c>
      <c r="R236" s="72"/>
      <c r="S236" s="72"/>
    </row>
    <row r="237" spans="1:19" s="73" customFormat="1" ht="19.899999999999999" customHeight="1" outlineLevel="1" x14ac:dyDescent="0.25">
      <c r="A237" s="1">
        <f>IF(B237&gt;0,SUM(MAX($A$10:A236),1),0)</f>
        <v>138</v>
      </c>
      <c r="B237" s="26">
        <v>8</v>
      </c>
      <c r="C237" s="27" t="s">
        <v>361</v>
      </c>
      <c r="D237" s="26" t="s">
        <v>362</v>
      </c>
      <c r="E237" s="69" t="s">
        <v>363</v>
      </c>
      <c r="F237" s="26">
        <v>6</v>
      </c>
      <c r="G237" s="28">
        <v>980</v>
      </c>
      <c r="H237" s="29" t="str">
        <f t="shared" si="15"/>
        <v>vừa</v>
      </c>
      <c r="I237" s="28">
        <v>450</v>
      </c>
      <c r="J237" s="29"/>
      <c r="K237" s="69"/>
      <c r="L237" s="72"/>
      <c r="M237" s="72"/>
      <c r="N237" s="72"/>
      <c r="O237" s="72"/>
      <c r="P237" s="72"/>
      <c r="Q237" s="70">
        <f t="shared" si="16"/>
        <v>5880</v>
      </c>
      <c r="R237" s="72"/>
      <c r="S237" s="72"/>
    </row>
    <row r="238" spans="1:19" s="73" customFormat="1" ht="19.899999999999999" customHeight="1" outlineLevel="1" x14ac:dyDescent="0.25">
      <c r="A238" s="1">
        <f>IF(B238&gt;0,SUM(MAX($A$10:A237),1),0)</f>
        <v>139</v>
      </c>
      <c r="B238" s="26">
        <v>9</v>
      </c>
      <c r="C238" s="27" t="s">
        <v>364</v>
      </c>
      <c r="D238" s="26" t="s">
        <v>362</v>
      </c>
      <c r="E238" s="69" t="s">
        <v>344</v>
      </c>
      <c r="F238" s="26">
        <v>12</v>
      </c>
      <c r="G238" s="28">
        <v>2100</v>
      </c>
      <c r="H238" s="29" t="str">
        <f t="shared" si="15"/>
        <v>vừa</v>
      </c>
      <c r="I238" s="28">
        <v>1600</v>
      </c>
      <c r="J238" s="31"/>
      <c r="K238" s="31" t="s">
        <v>365</v>
      </c>
      <c r="L238" s="72"/>
      <c r="M238" s="72"/>
      <c r="N238" s="72"/>
      <c r="O238" s="72"/>
      <c r="P238" s="72"/>
      <c r="Q238" s="70">
        <f t="shared" si="16"/>
        <v>25200</v>
      </c>
      <c r="R238" s="72"/>
      <c r="S238" s="72"/>
    </row>
    <row r="239" spans="1:19" s="73" customFormat="1" ht="19.899999999999999" customHeight="1" outlineLevel="1" x14ac:dyDescent="0.25">
      <c r="A239" s="1">
        <f>IF(B239&gt;0,SUM(MAX($A$10:A238),1),0)</f>
        <v>140</v>
      </c>
      <c r="B239" s="202">
        <v>10</v>
      </c>
      <c r="C239" s="204" t="s">
        <v>366</v>
      </c>
      <c r="D239" s="202" t="s">
        <v>366</v>
      </c>
      <c r="E239" s="228" t="s">
        <v>344</v>
      </c>
      <c r="F239" s="26">
        <v>3</v>
      </c>
      <c r="G239" s="28">
        <v>980</v>
      </c>
      <c r="H239" s="208" t="str">
        <f t="shared" si="15"/>
        <v>vừa</v>
      </c>
      <c r="I239" s="212">
        <v>220</v>
      </c>
      <c r="J239" s="200"/>
      <c r="K239" s="200" t="s">
        <v>367</v>
      </c>
      <c r="L239" s="72"/>
      <c r="M239" s="72"/>
      <c r="N239" s="72"/>
      <c r="O239" s="72"/>
      <c r="P239" s="72"/>
      <c r="Q239" s="70">
        <f>F239*G239+F240*G240</f>
        <v>4060</v>
      </c>
      <c r="R239" s="72"/>
      <c r="S239" s="72"/>
    </row>
    <row r="240" spans="1:19" s="73" customFormat="1" ht="19.899999999999999" customHeight="1" outlineLevel="1" x14ac:dyDescent="0.25">
      <c r="A240" s="1">
        <f>IF(B240&gt;0,SUM(MAX($A$10:A239),1),0)</f>
        <v>0</v>
      </c>
      <c r="B240" s="203"/>
      <c r="C240" s="205"/>
      <c r="D240" s="203"/>
      <c r="E240" s="229"/>
      <c r="F240" s="26">
        <v>1</v>
      </c>
      <c r="G240" s="28">
        <v>1120</v>
      </c>
      <c r="H240" s="209"/>
      <c r="I240" s="213"/>
      <c r="J240" s="201"/>
      <c r="K240" s="201"/>
      <c r="L240" s="72"/>
      <c r="M240" s="72"/>
      <c r="N240" s="72"/>
      <c r="O240" s="72"/>
      <c r="P240" s="72"/>
      <c r="Q240" s="72"/>
      <c r="R240" s="72"/>
      <c r="S240" s="72"/>
    </row>
    <row r="241" spans="1:19" s="73" customFormat="1" ht="19.899999999999999" customHeight="1" outlineLevel="1" x14ac:dyDescent="0.25">
      <c r="A241" s="1">
        <f>IF(B241&gt;0,SUM(MAX($A$10:A240),1),0)</f>
        <v>141</v>
      </c>
      <c r="B241" s="26">
        <v>11</v>
      </c>
      <c r="C241" s="27" t="s">
        <v>368</v>
      </c>
      <c r="D241" s="26" t="s">
        <v>369</v>
      </c>
      <c r="E241" s="69" t="s">
        <v>26</v>
      </c>
      <c r="F241" s="26">
        <v>10</v>
      </c>
      <c r="G241" s="28">
        <v>1120</v>
      </c>
      <c r="H241" s="29" t="str">
        <f t="shared" si="15"/>
        <v>vừa</v>
      </c>
      <c r="I241" s="28">
        <v>1730</v>
      </c>
      <c r="J241" s="31"/>
      <c r="K241" s="31" t="s">
        <v>370</v>
      </c>
      <c r="L241" s="72"/>
      <c r="M241" s="72"/>
      <c r="N241" s="72"/>
      <c r="O241" s="72"/>
      <c r="P241" s="72"/>
      <c r="Q241" s="72">
        <f>F241*G241</f>
        <v>11200</v>
      </c>
      <c r="R241" s="72"/>
      <c r="S241" s="72"/>
    </row>
    <row r="242" spans="1:19" s="73" customFormat="1" ht="19.899999999999999" customHeight="1" outlineLevel="1" x14ac:dyDescent="0.25">
      <c r="A242" s="1">
        <f>IF(B242&gt;0,SUM(MAX($A$10:A241),1),0)</f>
        <v>142</v>
      </c>
      <c r="B242" s="26">
        <v>12</v>
      </c>
      <c r="C242" s="27" t="s">
        <v>371</v>
      </c>
      <c r="D242" s="26" t="s">
        <v>354</v>
      </c>
      <c r="E242" s="74" t="s">
        <v>355</v>
      </c>
      <c r="F242" s="26">
        <v>2</v>
      </c>
      <c r="G242" s="28">
        <v>980</v>
      </c>
      <c r="H242" s="29" t="str">
        <f t="shared" si="15"/>
        <v>nhỏ</v>
      </c>
      <c r="I242" s="28">
        <v>95</v>
      </c>
      <c r="J242" s="29"/>
      <c r="K242" s="69"/>
      <c r="L242" s="72"/>
      <c r="M242" s="72"/>
      <c r="N242" s="72"/>
      <c r="O242" s="72"/>
      <c r="P242" s="72"/>
      <c r="Q242" s="72">
        <f t="shared" ref="Q242:Q253" si="17">F242*G242</f>
        <v>1960</v>
      </c>
      <c r="R242" s="72"/>
      <c r="S242" s="72"/>
    </row>
    <row r="243" spans="1:19" s="73" customFormat="1" ht="19.899999999999999" customHeight="1" outlineLevel="1" x14ac:dyDescent="0.25">
      <c r="A243" s="1">
        <f>IF(B243&gt;0,SUM(MAX($A$10:A242),1),0)</f>
        <v>143</v>
      </c>
      <c r="B243" s="26">
        <v>13</v>
      </c>
      <c r="C243" s="27" t="s">
        <v>372</v>
      </c>
      <c r="D243" s="26" t="s">
        <v>373</v>
      </c>
      <c r="E243" s="69" t="s">
        <v>224</v>
      </c>
      <c r="F243" s="26">
        <v>2</v>
      </c>
      <c r="G243" s="28">
        <v>980</v>
      </c>
      <c r="H243" s="29" t="str">
        <f t="shared" si="15"/>
        <v>nhỏ</v>
      </c>
      <c r="I243" s="43">
        <v>280</v>
      </c>
      <c r="J243" s="31"/>
      <c r="K243" s="31" t="s">
        <v>374</v>
      </c>
      <c r="L243" s="72"/>
      <c r="M243" s="72"/>
      <c r="N243" s="72"/>
      <c r="O243" s="72"/>
      <c r="P243" s="72"/>
      <c r="Q243" s="72">
        <f t="shared" si="17"/>
        <v>1960</v>
      </c>
      <c r="R243" s="72"/>
      <c r="S243" s="72"/>
    </row>
    <row r="244" spans="1:19" s="73" customFormat="1" ht="19.899999999999999" customHeight="1" outlineLevel="1" x14ac:dyDescent="0.25">
      <c r="A244" s="1">
        <f>IF(B244&gt;0,SUM(MAX($A$10:A243),1),0)</f>
        <v>144</v>
      </c>
      <c r="B244" s="26">
        <v>14</v>
      </c>
      <c r="C244" s="27" t="s">
        <v>375</v>
      </c>
      <c r="D244" s="26" t="s">
        <v>373</v>
      </c>
      <c r="E244" s="69" t="s">
        <v>224</v>
      </c>
      <c r="F244" s="26">
        <v>2</v>
      </c>
      <c r="G244" s="28">
        <v>980</v>
      </c>
      <c r="H244" s="29" t="str">
        <f t="shared" si="15"/>
        <v>nhỏ</v>
      </c>
      <c r="I244" s="28">
        <v>195</v>
      </c>
      <c r="J244" s="31"/>
      <c r="K244" s="31" t="s">
        <v>376</v>
      </c>
      <c r="L244" s="72"/>
      <c r="M244" s="72"/>
      <c r="N244" s="72"/>
      <c r="O244" s="72"/>
      <c r="P244" s="72"/>
      <c r="Q244" s="72">
        <f t="shared" si="17"/>
        <v>1960</v>
      </c>
      <c r="R244" s="72"/>
      <c r="S244" s="72"/>
    </row>
    <row r="245" spans="1:19" s="73" customFormat="1" ht="19.899999999999999" customHeight="1" outlineLevel="1" x14ac:dyDescent="0.25">
      <c r="A245" s="1">
        <f>IF(B245&gt;0,SUM(MAX($A$10:A244),1),0)</f>
        <v>145</v>
      </c>
      <c r="B245" s="26">
        <v>15</v>
      </c>
      <c r="C245" s="27" t="s">
        <v>377</v>
      </c>
      <c r="D245" s="26" t="s">
        <v>357</v>
      </c>
      <c r="E245" s="69" t="s">
        <v>224</v>
      </c>
      <c r="F245" s="26">
        <v>1</v>
      </c>
      <c r="G245" s="28">
        <v>980</v>
      </c>
      <c r="H245" s="29" t="str">
        <f t="shared" si="15"/>
        <v>nhỏ</v>
      </c>
      <c r="I245" s="28">
        <v>20</v>
      </c>
      <c r="J245" s="31"/>
      <c r="K245" s="31" t="s">
        <v>378</v>
      </c>
      <c r="L245" s="72"/>
      <c r="M245" s="72"/>
      <c r="N245" s="72"/>
      <c r="O245" s="72"/>
      <c r="P245" s="72"/>
      <c r="Q245" s="72">
        <f t="shared" si="17"/>
        <v>980</v>
      </c>
      <c r="R245" s="72"/>
      <c r="S245" s="72"/>
    </row>
    <row r="246" spans="1:19" s="73" customFormat="1" ht="19.899999999999999" customHeight="1" outlineLevel="1" x14ac:dyDescent="0.25">
      <c r="A246" s="1">
        <f>IF(B246&gt;0,SUM(MAX($A$10:A245),1),0)</f>
        <v>146</v>
      </c>
      <c r="B246" s="26">
        <v>16</v>
      </c>
      <c r="C246" s="27" t="s">
        <v>379</v>
      </c>
      <c r="D246" s="26" t="s">
        <v>379</v>
      </c>
      <c r="E246" s="69" t="s">
        <v>363</v>
      </c>
      <c r="F246" s="26">
        <v>2</v>
      </c>
      <c r="G246" s="28">
        <v>1120</v>
      </c>
      <c r="H246" s="29" t="str">
        <f t="shared" si="15"/>
        <v>nhỏ</v>
      </c>
      <c r="I246" s="28">
        <v>250</v>
      </c>
      <c r="J246" s="29"/>
      <c r="K246" s="69"/>
      <c r="L246" s="72"/>
      <c r="M246" s="72"/>
      <c r="N246" s="72"/>
      <c r="O246" s="72"/>
      <c r="P246" s="72"/>
      <c r="Q246" s="72">
        <f t="shared" si="17"/>
        <v>2240</v>
      </c>
      <c r="R246" s="72"/>
      <c r="S246" s="72"/>
    </row>
    <row r="247" spans="1:19" s="73" customFormat="1" ht="19.899999999999999" customHeight="1" outlineLevel="1" x14ac:dyDescent="0.25">
      <c r="A247" s="1">
        <f>IF(B247&gt;0,SUM(MAX($A$10:A246),1),0)</f>
        <v>147</v>
      </c>
      <c r="B247" s="26">
        <v>17</v>
      </c>
      <c r="C247" s="27" t="s">
        <v>380</v>
      </c>
      <c r="D247" s="26" t="s">
        <v>381</v>
      </c>
      <c r="E247" s="69" t="s">
        <v>382</v>
      </c>
      <c r="F247" s="26">
        <v>1</v>
      </c>
      <c r="G247" s="28">
        <v>980</v>
      </c>
      <c r="H247" s="29" t="str">
        <f t="shared" si="15"/>
        <v>nhỏ</v>
      </c>
      <c r="I247" s="28">
        <v>33</v>
      </c>
      <c r="J247" s="29"/>
      <c r="K247" s="69"/>
      <c r="L247" s="72"/>
      <c r="M247" s="72"/>
      <c r="N247" s="72"/>
      <c r="O247" s="72"/>
      <c r="P247" s="72"/>
      <c r="Q247" s="72">
        <f t="shared" si="17"/>
        <v>980</v>
      </c>
      <c r="R247" s="72"/>
      <c r="S247" s="72"/>
    </row>
    <row r="248" spans="1:19" s="73" customFormat="1" ht="19.899999999999999" customHeight="1" outlineLevel="1" x14ac:dyDescent="0.25">
      <c r="A248" s="1">
        <f>IF(B248&gt;0,SUM(MAX($A$10:A247),1),0)</f>
        <v>148</v>
      </c>
      <c r="B248" s="26">
        <v>18</v>
      </c>
      <c r="C248" s="27" t="s">
        <v>383</v>
      </c>
      <c r="D248" s="26" t="s">
        <v>381</v>
      </c>
      <c r="E248" s="69" t="s">
        <v>382</v>
      </c>
      <c r="F248" s="26">
        <v>1</v>
      </c>
      <c r="G248" s="28">
        <v>1120</v>
      </c>
      <c r="H248" s="29" t="str">
        <f t="shared" si="15"/>
        <v>nhỏ</v>
      </c>
      <c r="I248" s="28">
        <v>115</v>
      </c>
      <c r="J248" s="29"/>
      <c r="K248" s="69"/>
      <c r="L248" s="72"/>
      <c r="M248" s="72"/>
      <c r="N248" s="72"/>
      <c r="O248" s="72"/>
      <c r="P248" s="72"/>
      <c r="Q248" s="72">
        <f t="shared" si="17"/>
        <v>1120</v>
      </c>
      <c r="R248" s="72"/>
      <c r="S248" s="72"/>
    </row>
    <row r="249" spans="1:19" s="73" customFormat="1" ht="19.899999999999999" customHeight="1" outlineLevel="1" x14ac:dyDescent="0.25">
      <c r="A249" s="1">
        <f>IF(B249&gt;0,SUM(MAX($A$10:A248),1),0)</f>
        <v>149</v>
      </c>
      <c r="B249" s="26">
        <v>19</v>
      </c>
      <c r="C249" s="27" t="s">
        <v>384</v>
      </c>
      <c r="D249" s="26" t="s">
        <v>381</v>
      </c>
      <c r="E249" s="69" t="s">
        <v>363</v>
      </c>
      <c r="F249" s="26">
        <v>2</v>
      </c>
      <c r="G249" s="28">
        <v>980</v>
      </c>
      <c r="H249" s="29" t="str">
        <f t="shared" si="15"/>
        <v>nhỏ</v>
      </c>
      <c r="I249" s="28">
        <v>108</v>
      </c>
      <c r="J249" s="29"/>
      <c r="K249" s="69"/>
      <c r="L249" s="72"/>
      <c r="M249" s="72"/>
      <c r="N249" s="72"/>
      <c r="O249" s="72"/>
      <c r="P249" s="72"/>
      <c r="Q249" s="72">
        <f t="shared" si="17"/>
        <v>1960</v>
      </c>
      <c r="R249" s="72"/>
      <c r="S249" s="72"/>
    </row>
    <row r="250" spans="1:19" s="73" customFormat="1" ht="19.899999999999999" customHeight="1" outlineLevel="1" x14ac:dyDescent="0.25">
      <c r="A250" s="1">
        <f>IF(B250&gt;0,SUM(MAX($A$10:A249),1),0)</f>
        <v>150</v>
      </c>
      <c r="B250" s="26">
        <v>20</v>
      </c>
      <c r="C250" s="27" t="s">
        <v>385</v>
      </c>
      <c r="D250" s="26" t="s">
        <v>381</v>
      </c>
      <c r="E250" s="69" t="s">
        <v>382</v>
      </c>
      <c r="F250" s="26">
        <v>2</v>
      </c>
      <c r="G250" s="28">
        <v>980</v>
      </c>
      <c r="H250" s="29" t="str">
        <f t="shared" si="15"/>
        <v>nhỏ</v>
      </c>
      <c r="I250" s="28">
        <v>280</v>
      </c>
      <c r="J250" s="29"/>
      <c r="K250" s="69"/>
      <c r="L250" s="72"/>
      <c r="M250" s="72"/>
      <c r="N250" s="72"/>
      <c r="O250" s="72"/>
      <c r="P250" s="72"/>
      <c r="Q250" s="72">
        <f t="shared" si="17"/>
        <v>1960</v>
      </c>
      <c r="R250" s="72"/>
      <c r="S250" s="72"/>
    </row>
    <row r="251" spans="1:19" s="73" customFormat="1" ht="19.899999999999999" customHeight="1" outlineLevel="1" x14ac:dyDescent="0.25">
      <c r="A251" s="1">
        <f>IF(B251&gt;0,SUM(MAX($A$10:A250),1),0)</f>
        <v>151</v>
      </c>
      <c r="B251" s="26">
        <v>21</v>
      </c>
      <c r="C251" s="27" t="s">
        <v>386</v>
      </c>
      <c r="D251" s="26" t="s">
        <v>381</v>
      </c>
      <c r="E251" s="69" t="s">
        <v>382</v>
      </c>
      <c r="F251" s="26">
        <v>2</v>
      </c>
      <c r="G251" s="28">
        <v>1120</v>
      </c>
      <c r="H251" s="29" t="str">
        <f t="shared" si="15"/>
        <v>nhỏ</v>
      </c>
      <c r="I251" s="28">
        <v>150</v>
      </c>
      <c r="J251" s="29"/>
      <c r="K251" s="69"/>
      <c r="L251" s="72"/>
      <c r="M251" s="72"/>
      <c r="N251" s="72"/>
      <c r="O251" s="72"/>
      <c r="P251" s="72"/>
      <c r="Q251" s="72">
        <f t="shared" si="17"/>
        <v>2240</v>
      </c>
      <c r="R251" s="72"/>
      <c r="S251" s="72"/>
    </row>
    <row r="252" spans="1:19" s="73" customFormat="1" ht="19.899999999999999" customHeight="1" outlineLevel="1" x14ac:dyDescent="0.25">
      <c r="A252" s="1">
        <f>IF(B252&gt;0,SUM(MAX($A$10:A251),1),0)</f>
        <v>152</v>
      </c>
      <c r="B252" s="26">
        <v>22</v>
      </c>
      <c r="C252" s="27" t="s">
        <v>387</v>
      </c>
      <c r="D252" s="26" t="s">
        <v>388</v>
      </c>
      <c r="E252" s="69" t="s">
        <v>389</v>
      </c>
      <c r="F252" s="26">
        <v>2</v>
      </c>
      <c r="G252" s="28">
        <v>1120</v>
      </c>
      <c r="H252" s="29" t="str">
        <f t="shared" si="15"/>
        <v>nhỏ</v>
      </c>
      <c r="I252" s="28">
        <v>180</v>
      </c>
      <c r="J252" s="29"/>
      <c r="K252" s="69"/>
      <c r="L252" s="72"/>
      <c r="M252" s="72"/>
      <c r="N252" s="72"/>
      <c r="O252" s="72"/>
      <c r="P252" s="72"/>
      <c r="Q252" s="72">
        <f t="shared" si="17"/>
        <v>2240</v>
      </c>
      <c r="R252" s="72"/>
      <c r="S252" s="72"/>
    </row>
    <row r="253" spans="1:19" s="73" customFormat="1" outlineLevel="1" x14ac:dyDescent="0.25">
      <c r="A253" s="1">
        <f>IF(B253&gt;0,SUM(MAX($A$10:A252),1),0)</f>
        <v>153</v>
      </c>
      <c r="B253" s="26">
        <v>23</v>
      </c>
      <c r="C253" s="27" t="s">
        <v>390</v>
      </c>
      <c r="D253" s="26" t="s">
        <v>391</v>
      </c>
      <c r="E253" s="69" t="s">
        <v>392</v>
      </c>
      <c r="F253" s="26">
        <v>1</v>
      </c>
      <c r="G253" s="28">
        <v>980</v>
      </c>
      <c r="H253" s="29" t="str">
        <f t="shared" si="15"/>
        <v>nhỏ</v>
      </c>
      <c r="I253" s="28">
        <v>30</v>
      </c>
      <c r="J253" s="29"/>
      <c r="K253" s="69"/>
      <c r="L253" s="72"/>
      <c r="M253" s="72"/>
      <c r="N253" s="72"/>
      <c r="O253" s="72"/>
      <c r="P253" s="72"/>
      <c r="Q253" s="72">
        <f t="shared" si="17"/>
        <v>980</v>
      </c>
      <c r="R253" s="72"/>
      <c r="S253" s="72"/>
    </row>
    <row r="254" spans="1:19" s="76" customFormat="1" ht="19.899999999999999" customHeight="1" x14ac:dyDescent="0.25">
      <c r="A254" s="1">
        <f>IF(B254&gt;0,SUM(MAX($A$10:A253),1),0)</f>
        <v>0</v>
      </c>
      <c r="B254" s="64"/>
      <c r="C254" s="20" t="s">
        <v>34</v>
      </c>
      <c r="D254" s="64" t="str">
        <f>CONCATENATE(COUNT(B254:B269)," trạm")</f>
        <v>11 trạm</v>
      </c>
      <c r="E254" s="64"/>
      <c r="F254" s="65">
        <f>+SUM(F255:F269)</f>
        <v>88</v>
      </c>
      <c r="G254" s="31"/>
      <c r="H254" s="29"/>
      <c r="I254" s="29"/>
      <c r="J254" s="29"/>
      <c r="K254" s="64"/>
      <c r="L254" s="25">
        <f>COUNTIF(H255:H269,"lớn")</f>
        <v>1</v>
      </c>
      <c r="M254" s="25">
        <f>COUNTIF(H255:H269,"vừa")</f>
        <v>7</v>
      </c>
      <c r="N254" s="25">
        <f>COUNTIF(H255:H269,"nhỏ")</f>
        <v>3</v>
      </c>
      <c r="O254" s="75"/>
      <c r="P254" s="75"/>
      <c r="Q254" s="75">
        <f>SUM(Q255:Q269)</f>
        <v>381760</v>
      </c>
      <c r="R254" s="75"/>
      <c r="S254" s="75"/>
    </row>
    <row r="255" spans="1:19" s="73" customFormat="1" ht="19.899999999999999" customHeight="1" outlineLevel="1" x14ac:dyDescent="0.25">
      <c r="A255" s="1">
        <f>IF(B255&gt;0,SUM(MAX($A$10:A254),1),0)</f>
        <v>154</v>
      </c>
      <c r="B255" s="202">
        <v>1</v>
      </c>
      <c r="C255" s="204" t="s">
        <v>393</v>
      </c>
      <c r="D255" s="202" t="s">
        <v>381</v>
      </c>
      <c r="E255" s="228" t="s">
        <v>344</v>
      </c>
      <c r="F255" s="26">
        <v>11</v>
      </c>
      <c r="G255" s="28">
        <v>8000</v>
      </c>
      <c r="H255" s="208" t="str">
        <f t="shared" si="15"/>
        <v>lớn</v>
      </c>
      <c r="I255" s="200"/>
      <c r="J255" s="200">
        <v>9220</v>
      </c>
      <c r="K255" s="31" t="s">
        <v>394</v>
      </c>
      <c r="L255" s="72"/>
      <c r="M255" s="72"/>
      <c r="N255" s="72"/>
      <c r="O255" s="72"/>
      <c r="P255" s="72"/>
      <c r="Q255" s="72">
        <f>F255*G255+F256*G256+F257*G257</f>
        <v>230000</v>
      </c>
      <c r="R255" s="72"/>
      <c r="S255" s="72"/>
    </row>
    <row r="256" spans="1:19" s="73" customFormat="1" ht="19.899999999999999" customHeight="1" outlineLevel="1" x14ac:dyDescent="0.25">
      <c r="A256" s="1">
        <f>IF(B256&gt;0,SUM(MAX($A$10:A255),1),0)</f>
        <v>0</v>
      </c>
      <c r="B256" s="210"/>
      <c r="C256" s="219"/>
      <c r="D256" s="210"/>
      <c r="E256" s="230"/>
      <c r="F256" s="26">
        <v>4</v>
      </c>
      <c r="G256" s="28">
        <v>8000</v>
      </c>
      <c r="H256" s="211"/>
      <c r="I256" s="216"/>
      <c r="J256" s="216"/>
      <c r="K256" s="31" t="s">
        <v>395</v>
      </c>
      <c r="L256" s="72"/>
      <c r="M256" s="72"/>
      <c r="N256" s="72"/>
      <c r="O256" s="72"/>
      <c r="P256" s="72"/>
      <c r="Q256" s="72"/>
      <c r="R256" s="72"/>
      <c r="S256" s="72"/>
    </row>
    <row r="257" spans="1:19" s="73" customFormat="1" ht="19.899999999999999" customHeight="1" outlineLevel="1" x14ac:dyDescent="0.25">
      <c r="A257" s="1">
        <f>IF(B257&gt;0,SUM(MAX($A$10:A256),1),0)</f>
        <v>0</v>
      </c>
      <c r="B257" s="203"/>
      <c r="C257" s="205"/>
      <c r="D257" s="203"/>
      <c r="E257" s="229"/>
      <c r="F257" s="26">
        <v>5</v>
      </c>
      <c r="G257" s="28">
        <v>22000</v>
      </c>
      <c r="H257" s="209"/>
      <c r="I257" s="201"/>
      <c r="J257" s="201"/>
      <c r="K257" s="69"/>
      <c r="L257" s="72"/>
      <c r="M257" s="72"/>
      <c r="N257" s="72"/>
      <c r="O257" s="72"/>
      <c r="P257" s="72"/>
      <c r="Q257" s="72"/>
      <c r="R257" s="72"/>
      <c r="S257" s="72"/>
    </row>
    <row r="258" spans="1:19" s="73" customFormat="1" ht="19.899999999999999" customHeight="1" outlineLevel="1" x14ac:dyDescent="0.25">
      <c r="A258" s="1">
        <f>IF(B258&gt;0,SUM(MAX($A$10:A257),1),0)</f>
        <v>155</v>
      </c>
      <c r="B258" s="26">
        <v>2</v>
      </c>
      <c r="C258" s="27" t="s">
        <v>396</v>
      </c>
      <c r="D258" s="26" t="s">
        <v>369</v>
      </c>
      <c r="E258" s="69" t="s">
        <v>26</v>
      </c>
      <c r="F258" s="26">
        <v>14</v>
      </c>
      <c r="G258" s="28">
        <v>4000</v>
      </c>
      <c r="H258" s="29" t="str">
        <f t="shared" ref="H258:H268" si="18">IF(AND(Q258&lt;3600,Q258&gt;0),"nhỏ",IF(AND(Q258&gt;=3600,Q258&lt;72000),"vừa",IF(Q258&lt;&gt;0,"lớn",0)))</f>
        <v>vừa</v>
      </c>
      <c r="I258" s="29"/>
      <c r="J258" s="28">
        <v>2200</v>
      </c>
      <c r="K258" s="31" t="s">
        <v>397</v>
      </c>
      <c r="L258" s="72"/>
      <c r="M258" s="72"/>
      <c r="N258" s="72"/>
      <c r="O258" s="72"/>
      <c r="P258" s="72"/>
      <c r="Q258" s="72">
        <f>F258*G258</f>
        <v>56000</v>
      </c>
      <c r="R258" s="72"/>
      <c r="S258" s="72"/>
    </row>
    <row r="259" spans="1:19" s="73" customFormat="1" ht="19.899999999999999" customHeight="1" outlineLevel="1" x14ac:dyDescent="0.25">
      <c r="A259" s="1">
        <f>IF(B259&gt;0,SUM(MAX($A$10:A258),1),0)</f>
        <v>156</v>
      </c>
      <c r="B259" s="202">
        <v>3</v>
      </c>
      <c r="C259" s="204" t="s">
        <v>398</v>
      </c>
      <c r="D259" s="202" t="s">
        <v>357</v>
      </c>
      <c r="E259" s="228" t="s">
        <v>344</v>
      </c>
      <c r="F259" s="26">
        <v>24</v>
      </c>
      <c r="G259" s="28">
        <v>980</v>
      </c>
      <c r="H259" s="208" t="str">
        <f t="shared" si="18"/>
        <v>vừa</v>
      </c>
      <c r="I259" s="29"/>
      <c r="J259" s="200">
        <v>2800</v>
      </c>
      <c r="K259" s="31" t="s">
        <v>399</v>
      </c>
      <c r="L259" s="72"/>
      <c r="M259" s="72"/>
      <c r="N259" s="72"/>
      <c r="O259" s="72"/>
      <c r="P259" s="72"/>
      <c r="Q259" s="72">
        <f>F259*G259+F260*G260</f>
        <v>63520</v>
      </c>
      <c r="R259" s="72"/>
      <c r="S259" s="72"/>
    </row>
    <row r="260" spans="1:19" s="73" customFormat="1" ht="19.899999999999999" customHeight="1" outlineLevel="1" x14ac:dyDescent="0.25">
      <c r="A260" s="1"/>
      <c r="B260" s="203"/>
      <c r="C260" s="205"/>
      <c r="D260" s="203"/>
      <c r="E260" s="229"/>
      <c r="F260" s="26">
        <v>10</v>
      </c>
      <c r="G260" s="28">
        <v>4000</v>
      </c>
      <c r="H260" s="209"/>
      <c r="I260" s="29"/>
      <c r="J260" s="201"/>
      <c r="K260" s="31" t="s">
        <v>400</v>
      </c>
      <c r="L260" s="72"/>
      <c r="M260" s="72"/>
      <c r="N260" s="72"/>
      <c r="O260" s="72"/>
      <c r="P260" s="72"/>
      <c r="Q260" s="72"/>
      <c r="R260" s="72"/>
      <c r="S260" s="72"/>
    </row>
    <row r="261" spans="1:19" s="73" customFormat="1" ht="19.899999999999999" customHeight="1" outlineLevel="1" x14ac:dyDescent="0.25">
      <c r="A261" s="1"/>
      <c r="B261" s="26">
        <v>4</v>
      </c>
      <c r="C261" s="27" t="s">
        <v>401</v>
      </c>
      <c r="D261" s="26" t="s">
        <v>373</v>
      </c>
      <c r="E261" s="69" t="s">
        <v>224</v>
      </c>
      <c r="F261" s="26">
        <v>4</v>
      </c>
      <c r="G261" s="28">
        <v>980</v>
      </c>
      <c r="H261" s="29" t="str">
        <f t="shared" si="18"/>
        <v>vừa</v>
      </c>
      <c r="I261" s="29"/>
      <c r="J261" s="77">
        <v>450</v>
      </c>
      <c r="K261" s="31" t="s">
        <v>402</v>
      </c>
      <c r="L261" s="72"/>
      <c r="M261" s="72"/>
      <c r="N261" s="72"/>
      <c r="O261" s="72"/>
      <c r="P261" s="72"/>
      <c r="Q261" s="72">
        <f>F261*G261</f>
        <v>3920</v>
      </c>
      <c r="R261" s="72"/>
      <c r="S261" s="72"/>
    </row>
    <row r="262" spans="1:19" s="73" customFormat="1" ht="19.899999999999999" customHeight="1" outlineLevel="1" x14ac:dyDescent="0.25">
      <c r="A262" s="1"/>
      <c r="B262" s="26">
        <v>5</v>
      </c>
      <c r="C262" s="27" t="s">
        <v>381</v>
      </c>
      <c r="D262" s="26" t="s">
        <v>381</v>
      </c>
      <c r="E262" s="69" t="s">
        <v>403</v>
      </c>
      <c r="F262" s="26">
        <v>2</v>
      </c>
      <c r="G262" s="28">
        <v>2400</v>
      </c>
      <c r="H262" s="29" t="str">
        <f t="shared" si="18"/>
        <v>vừa</v>
      </c>
      <c r="I262" s="29"/>
      <c r="J262" s="28">
        <v>125</v>
      </c>
      <c r="K262" s="69"/>
      <c r="L262" s="72"/>
      <c r="M262" s="72"/>
      <c r="N262" s="72"/>
      <c r="O262" s="72"/>
      <c r="P262" s="72"/>
      <c r="Q262" s="72">
        <f t="shared" ref="Q262:Q267" si="19">F262*G262</f>
        <v>4800</v>
      </c>
      <c r="R262" s="72"/>
      <c r="S262" s="72"/>
    </row>
    <row r="263" spans="1:19" s="73" customFormat="1" ht="39" customHeight="1" outlineLevel="1" x14ac:dyDescent="0.25">
      <c r="A263" s="1">
        <f>IF(B263&gt;0,SUM(MAX($A$10:A259),1),0)</f>
        <v>157</v>
      </c>
      <c r="B263" s="26">
        <v>6</v>
      </c>
      <c r="C263" s="27" t="s">
        <v>404</v>
      </c>
      <c r="D263" s="26" t="s">
        <v>366</v>
      </c>
      <c r="E263" s="69" t="s">
        <v>344</v>
      </c>
      <c r="F263" s="26">
        <v>3</v>
      </c>
      <c r="G263" s="28">
        <v>2400</v>
      </c>
      <c r="H263" s="29" t="str">
        <f t="shared" si="18"/>
        <v>vừa</v>
      </c>
      <c r="I263" s="29"/>
      <c r="J263" s="28">
        <v>145</v>
      </c>
      <c r="K263" s="31" t="s">
        <v>405</v>
      </c>
      <c r="L263" s="72"/>
      <c r="M263" s="72"/>
      <c r="N263" s="72"/>
      <c r="O263" s="72"/>
      <c r="P263" s="72"/>
      <c r="Q263" s="72">
        <f t="shared" si="19"/>
        <v>7200</v>
      </c>
      <c r="R263" s="72"/>
      <c r="S263" s="72"/>
    </row>
    <row r="264" spans="1:19" s="73" customFormat="1" ht="19.899999999999999" customHeight="1" outlineLevel="1" x14ac:dyDescent="0.25">
      <c r="A264" s="1">
        <f>IF(B264&gt;0,SUM(MAX($A$10:A263),1),0)</f>
        <v>158</v>
      </c>
      <c r="B264" s="26">
        <v>7</v>
      </c>
      <c r="C264" s="27" t="s">
        <v>406</v>
      </c>
      <c r="D264" s="26" t="s">
        <v>407</v>
      </c>
      <c r="E264" s="69" t="s">
        <v>202</v>
      </c>
      <c r="F264" s="26">
        <v>3</v>
      </c>
      <c r="G264" s="28">
        <v>1900</v>
      </c>
      <c r="H264" s="29" t="str">
        <f t="shared" si="18"/>
        <v>vừa</v>
      </c>
      <c r="I264" s="29"/>
      <c r="J264" s="28">
        <v>159</v>
      </c>
      <c r="K264" s="69"/>
      <c r="L264" s="72"/>
      <c r="M264" s="72"/>
      <c r="N264" s="72"/>
      <c r="O264" s="72"/>
      <c r="P264" s="72"/>
      <c r="Q264" s="72">
        <f t="shared" si="19"/>
        <v>5700</v>
      </c>
      <c r="R264" s="72"/>
      <c r="S264" s="72"/>
    </row>
    <row r="265" spans="1:19" s="73" customFormat="1" ht="19.899999999999999" customHeight="1" outlineLevel="1" x14ac:dyDescent="0.25">
      <c r="A265" s="1">
        <f>IF(B265&gt;0,SUM(MAX($A$10:A264),1),0)</f>
        <v>159</v>
      </c>
      <c r="B265" s="26">
        <v>8</v>
      </c>
      <c r="C265" s="27" t="s">
        <v>408</v>
      </c>
      <c r="D265" s="26" t="s">
        <v>366</v>
      </c>
      <c r="E265" s="69" t="s">
        <v>403</v>
      </c>
      <c r="F265" s="26">
        <v>1</v>
      </c>
      <c r="G265" s="28">
        <v>2400</v>
      </c>
      <c r="H265" s="29" t="str">
        <f t="shared" si="18"/>
        <v>nhỏ</v>
      </c>
      <c r="I265" s="29"/>
      <c r="J265" s="28">
        <v>70</v>
      </c>
      <c r="K265" s="69"/>
      <c r="L265" s="72"/>
      <c r="M265" s="72"/>
      <c r="N265" s="72"/>
      <c r="O265" s="72"/>
      <c r="P265" s="72"/>
      <c r="Q265" s="72">
        <f t="shared" si="19"/>
        <v>2400</v>
      </c>
      <c r="R265" s="72"/>
      <c r="S265" s="72"/>
    </row>
    <row r="266" spans="1:19" s="73" customFormat="1" ht="19.899999999999999" customHeight="1" outlineLevel="1" x14ac:dyDescent="0.25">
      <c r="A266" s="1">
        <f>IF(B266&gt;0,SUM(MAX($A$10:A265),1),0)</f>
        <v>160</v>
      </c>
      <c r="B266" s="26">
        <v>9</v>
      </c>
      <c r="C266" s="27" t="s">
        <v>409</v>
      </c>
      <c r="D266" s="26" t="s">
        <v>407</v>
      </c>
      <c r="E266" s="69" t="s">
        <v>202</v>
      </c>
      <c r="F266" s="26">
        <v>1</v>
      </c>
      <c r="G266" s="28">
        <v>1500</v>
      </c>
      <c r="H266" s="29" t="str">
        <f t="shared" si="18"/>
        <v>nhỏ</v>
      </c>
      <c r="I266" s="29"/>
      <c r="J266" s="28">
        <v>60</v>
      </c>
      <c r="K266" s="69"/>
      <c r="L266" s="72"/>
      <c r="M266" s="72"/>
      <c r="N266" s="72"/>
      <c r="O266" s="72"/>
      <c r="P266" s="72"/>
      <c r="Q266" s="72">
        <f t="shared" si="19"/>
        <v>1500</v>
      </c>
      <c r="R266" s="72"/>
      <c r="S266" s="72"/>
    </row>
    <row r="267" spans="1:19" s="73" customFormat="1" ht="19.899999999999999" customHeight="1" outlineLevel="1" x14ac:dyDescent="0.25">
      <c r="A267" s="1">
        <f>IF(B267&gt;0,SUM(MAX($A$10:A266),1),0)</f>
        <v>161</v>
      </c>
      <c r="B267" s="26">
        <v>10</v>
      </c>
      <c r="C267" s="27" t="s">
        <v>410</v>
      </c>
      <c r="D267" s="26" t="s">
        <v>407</v>
      </c>
      <c r="E267" s="69" t="s">
        <v>382</v>
      </c>
      <c r="F267" s="26">
        <v>2</v>
      </c>
      <c r="G267" s="28">
        <v>980</v>
      </c>
      <c r="H267" s="29" t="str">
        <f t="shared" si="18"/>
        <v>nhỏ</v>
      </c>
      <c r="I267" s="29"/>
      <c r="J267" s="28">
        <v>146</v>
      </c>
      <c r="K267" s="69"/>
      <c r="L267" s="72"/>
      <c r="M267" s="72"/>
      <c r="N267" s="72"/>
      <c r="O267" s="72"/>
      <c r="P267" s="72"/>
      <c r="Q267" s="72">
        <f t="shared" si="19"/>
        <v>1960</v>
      </c>
      <c r="R267" s="72"/>
      <c r="S267" s="72"/>
    </row>
    <row r="268" spans="1:19" s="73" customFormat="1" ht="19.899999999999999" customHeight="1" outlineLevel="1" x14ac:dyDescent="0.25">
      <c r="A268" s="1">
        <f>IF(B268&gt;0,SUM(MAX($A$10:A267),1),0)</f>
        <v>162</v>
      </c>
      <c r="B268" s="202">
        <v>11</v>
      </c>
      <c r="C268" s="204" t="s">
        <v>411</v>
      </c>
      <c r="D268" s="202" t="s">
        <v>300</v>
      </c>
      <c r="E268" s="228" t="s">
        <v>26</v>
      </c>
      <c r="F268" s="26">
        <v>2</v>
      </c>
      <c r="G268" s="28">
        <v>980</v>
      </c>
      <c r="H268" s="208" t="str">
        <f t="shared" si="18"/>
        <v>vừa</v>
      </c>
      <c r="I268" s="208"/>
      <c r="J268" s="212">
        <v>180</v>
      </c>
      <c r="K268" s="212" t="s">
        <v>412</v>
      </c>
      <c r="L268" s="72"/>
      <c r="M268" s="72"/>
      <c r="N268" s="72"/>
      <c r="O268" s="72"/>
      <c r="P268" s="72"/>
      <c r="Q268" s="72">
        <f>F268*G268+F269*G269</f>
        <v>4760</v>
      </c>
      <c r="R268" s="72"/>
      <c r="S268" s="72"/>
    </row>
    <row r="269" spans="1:19" s="79" customFormat="1" ht="19.899999999999999" customHeight="1" outlineLevel="1" x14ac:dyDescent="0.25">
      <c r="A269" s="1">
        <f>IF(B269&gt;0,SUM(MAX($A$10:A268),1),0)</f>
        <v>0</v>
      </c>
      <c r="B269" s="203"/>
      <c r="C269" s="205"/>
      <c r="D269" s="203"/>
      <c r="E269" s="229"/>
      <c r="F269" s="26">
        <v>2</v>
      </c>
      <c r="G269" s="28">
        <v>1400</v>
      </c>
      <c r="H269" s="209"/>
      <c r="I269" s="209"/>
      <c r="J269" s="213"/>
      <c r="K269" s="213"/>
      <c r="L269" s="78"/>
      <c r="M269" s="78"/>
      <c r="N269" s="78"/>
      <c r="O269" s="78"/>
      <c r="P269" s="78"/>
      <c r="Q269" s="78"/>
      <c r="R269" s="78"/>
      <c r="S269" s="78"/>
    </row>
    <row r="270" spans="1:19" s="76" customFormat="1" ht="19.899999999999999" customHeight="1" x14ac:dyDescent="0.25">
      <c r="A270" s="1">
        <f>IF(B270&gt;0,SUM(MAX($A$10:A269),1),0)</f>
        <v>0</v>
      </c>
      <c r="B270" s="64"/>
      <c r="C270" s="20" t="s">
        <v>112</v>
      </c>
      <c r="D270" s="64" t="str">
        <f>CONCATENATE(COUNT(B270:B298)," trạm")</f>
        <v>22 trạm</v>
      </c>
      <c r="E270" s="64"/>
      <c r="F270" s="65">
        <f>+SUM(F271:F298)</f>
        <v>109</v>
      </c>
      <c r="G270" s="31"/>
      <c r="H270" s="64"/>
      <c r="I270" s="64"/>
      <c r="J270" s="64"/>
      <c r="K270" s="64"/>
      <c r="L270" s="25">
        <f>COUNTIF(H271:H298,"lớn")</f>
        <v>1</v>
      </c>
      <c r="M270" s="25">
        <f>COUNTIF(H271:H298,"vừa")</f>
        <v>11</v>
      </c>
      <c r="N270" s="25">
        <f>COUNTIF(H271:H298,"nhỏ")</f>
        <v>10</v>
      </c>
      <c r="O270" s="75"/>
      <c r="P270" s="75"/>
      <c r="Q270" s="75">
        <f>SUM(Q271:Q298)</f>
        <v>377572</v>
      </c>
      <c r="R270" s="75"/>
      <c r="S270" s="75"/>
    </row>
    <row r="271" spans="1:19" s="73" customFormat="1" ht="19.899999999999999" customHeight="1" outlineLevel="1" x14ac:dyDescent="0.25">
      <c r="A271" s="1">
        <f>IF(B271&gt;0,SUM(MAX($A$10:A270),1),0)</f>
        <v>163</v>
      </c>
      <c r="B271" s="26">
        <v>1</v>
      </c>
      <c r="C271" s="27" t="s">
        <v>357</v>
      </c>
      <c r="D271" s="26" t="s">
        <v>357</v>
      </c>
      <c r="E271" s="74" t="s">
        <v>344</v>
      </c>
      <c r="F271" s="26">
        <v>28</v>
      </c>
      <c r="G271" s="28">
        <v>8144</v>
      </c>
      <c r="H271" s="29" t="str">
        <f t="shared" ref="H271:H279" si="20">IF(AND(Q271&lt;3600,Q271&gt;0),"nhỏ",IF(AND(Q271&gt;=3600,Q271&lt;72000),"vừa",IF(Q271&lt;&gt;0,"lớn",0)))</f>
        <v>lớn</v>
      </c>
      <c r="I271" s="28">
        <v>2931</v>
      </c>
      <c r="J271" s="43">
        <v>9284</v>
      </c>
      <c r="K271" s="31" t="s">
        <v>413</v>
      </c>
      <c r="L271" s="72"/>
      <c r="M271" s="72"/>
      <c r="N271" s="72"/>
      <c r="O271" s="72"/>
      <c r="P271" s="72"/>
      <c r="Q271" s="72">
        <f>F271*G271</f>
        <v>228032</v>
      </c>
      <c r="R271" s="72"/>
      <c r="S271" s="72"/>
    </row>
    <row r="272" spans="1:19" s="73" customFormat="1" ht="19.899999999999999" customHeight="1" outlineLevel="1" x14ac:dyDescent="0.25">
      <c r="A272" s="1">
        <f>IF(B272&gt;0,SUM(MAX($A$10:A271),1),0)</f>
        <v>164</v>
      </c>
      <c r="B272" s="26">
        <v>2</v>
      </c>
      <c r="C272" s="27" t="s">
        <v>414</v>
      </c>
      <c r="D272" s="26" t="s">
        <v>373</v>
      </c>
      <c r="E272" s="69" t="s">
        <v>224</v>
      </c>
      <c r="F272" s="26">
        <v>4</v>
      </c>
      <c r="G272" s="28">
        <v>4000</v>
      </c>
      <c r="H272" s="29" t="str">
        <f t="shared" si="20"/>
        <v>vừa</v>
      </c>
      <c r="I272" s="43">
        <v>515</v>
      </c>
      <c r="J272" s="43">
        <v>630</v>
      </c>
      <c r="K272" s="43" t="s">
        <v>415</v>
      </c>
      <c r="L272" s="72"/>
      <c r="M272" s="72"/>
      <c r="N272" s="72"/>
      <c r="O272" s="72"/>
      <c r="P272" s="72"/>
      <c r="Q272" s="72">
        <f t="shared" ref="Q272:Q278" si="21">F272*G272</f>
        <v>16000</v>
      </c>
      <c r="R272" s="72"/>
      <c r="S272" s="72"/>
    </row>
    <row r="273" spans="1:19" s="73" customFormat="1" ht="19.899999999999999" customHeight="1" outlineLevel="1" x14ac:dyDescent="0.25">
      <c r="A273" s="1">
        <f>IF(B273&gt;0,SUM(MAX($A$10:A272),1),0)</f>
        <v>165</v>
      </c>
      <c r="B273" s="26">
        <v>3</v>
      </c>
      <c r="C273" s="27" t="s">
        <v>416</v>
      </c>
      <c r="D273" s="26" t="s">
        <v>373</v>
      </c>
      <c r="E273" s="69" t="s">
        <v>224</v>
      </c>
      <c r="F273" s="26">
        <v>7</v>
      </c>
      <c r="G273" s="28">
        <v>1120</v>
      </c>
      <c r="H273" s="29" t="str">
        <f t="shared" si="20"/>
        <v>vừa</v>
      </c>
      <c r="I273" s="43">
        <v>195</v>
      </c>
      <c r="J273" s="43">
        <v>350</v>
      </c>
      <c r="K273" s="43" t="s">
        <v>417</v>
      </c>
      <c r="L273" s="72"/>
      <c r="M273" s="72"/>
      <c r="N273" s="72"/>
      <c r="O273" s="72"/>
      <c r="P273" s="72"/>
      <c r="Q273" s="72">
        <f t="shared" si="21"/>
        <v>7840</v>
      </c>
      <c r="R273" s="72"/>
      <c r="S273" s="72"/>
    </row>
    <row r="274" spans="1:19" s="73" customFormat="1" ht="19.899999999999999" customHeight="1" outlineLevel="1" x14ac:dyDescent="0.25">
      <c r="A274" s="1">
        <f>IF(B274&gt;0,SUM(MAX($A$10:A273),1),0)</f>
        <v>166</v>
      </c>
      <c r="B274" s="26">
        <v>4</v>
      </c>
      <c r="C274" s="27" t="s">
        <v>418</v>
      </c>
      <c r="D274" s="26" t="s">
        <v>239</v>
      </c>
      <c r="E274" s="74" t="s">
        <v>344</v>
      </c>
      <c r="F274" s="26">
        <v>7</v>
      </c>
      <c r="G274" s="28">
        <v>1120</v>
      </c>
      <c r="H274" s="29" t="str">
        <f t="shared" si="20"/>
        <v>vừa</v>
      </c>
      <c r="I274" s="28">
        <v>225</v>
      </c>
      <c r="J274" s="43">
        <v>450</v>
      </c>
      <c r="K274" s="43" t="s">
        <v>419</v>
      </c>
      <c r="L274" s="72"/>
      <c r="M274" s="72"/>
      <c r="N274" s="72"/>
      <c r="O274" s="72"/>
      <c r="P274" s="72"/>
      <c r="Q274" s="72">
        <f t="shared" si="21"/>
        <v>7840</v>
      </c>
      <c r="R274" s="72"/>
      <c r="S274" s="72"/>
    </row>
    <row r="275" spans="1:19" s="73" customFormat="1" ht="19.899999999999999" customHeight="1" outlineLevel="1" x14ac:dyDescent="0.25">
      <c r="A275" s="1">
        <f>IF(B275&gt;0,SUM(MAX($A$10:A274),1),0)</f>
        <v>167</v>
      </c>
      <c r="B275" s="26">
        <v>5</v>
      </c>
      <c r="C275" s="27" t="s">
        <v>420</v>
      </c>
      <c r="D275" s="26" t="s">
        <v>421</v>
      </c>
      <c r="E275" s="69" t="s">
        <v>382</v>
      </c>
      <c r="F275" s="26">
        <v>5</v>
      </c>
      <c r="G275" s="28">
        <v>980</v>
      </c>
      <c r="H275" s="29" t="str">
        <f t="shared" si="20"/>
        <v>vừa</v>
      </c>
      <c r="I275" s="28">
        <v>176</v>
      </c>
      <c r="J275" s="43">
        <v>850</v>
      </c>
      <c r="K275" s="69"/>
      <c r="L275" s="72"/>
      <c r="M275" s="72"/>
      <c r="N275" s="72"/>
      <c r="O275" s="72"/>
      <c r="P275" s="72"/>
      <c r="Q275" s="72">
        <f t="shared" si="21"/>
        <v>4900</v>
      </c>
      <c r="R275" s="72"/>
      <c r="S275" s="72"/>
    </row>
    <row r="276" spans="1:19" s="73" customFormat="1" ht="19.899999999999999" customHeight="1" outlineLevel="1" x14ac:dyDescent="0.25">
      <c r="A276" s="1">
        <f>IF(B276&gt;0,SUM(MAX($A$10:A275),1),0)</f>
        <v>168</v>
      </c>
      <c r="B276" s="26">
        <v>6</v>
      </c>
      <c r="C276" s="27" t="s">
        <v>422</v>
      </c>
      <c r="D276" s="26" t="s">
        <v>388</v>
      </c>
      <c r="E276" s="69" t="s">
        <v>26</v>
      </c>
      <c r="F276" s="26">
        <v>14</v>
      </c>
      <c r="G276" s="28">
        <v>4000</v>
      </c>
      <c r="H276" s="29" t="str">
        <f t="shared" si="20"/>
        <v>vừa</v>
      </c>
      <c r="I276" s="28">
        <v>1850</v>
      </c>
      <c r="J276" s="43">
        <v>2850</v>
      </c>
      <c r="K276" s="31" t="s">
        <v>423</v>
      </c>
      <c r="L276" s="72"/>
      <c r="M276" s="72"/>
      <c r="N276" s="72"/>
      <c r="O276" s="72"/>
      <c r="P276" s="72"/>
      <c r="Q276" s="72">
        <f t="shared" si="21"/>
        <v>56000</v>
      </c>
      <c r="R276" s="72"/>
      <c r="S276" s="72"/>
    </row>
    <row r="277" spans="1:19" s="73" customFormat="1" ht="19.899999999999999" customHeight="1" outlineLevel="1" x14ac:dyDescent="0.25">
      <c r="A277" s="1">
        <f>IF(B277&gt;0,SUM(MAX($A$10:A276),1),0)</f>
        <v>169</v>
      </c>
      <c r="B277" s="26">
        <v>7</v>
      </c>
      <c r="C277" s="27" t="s">
        <v>424</v>
      </c>
      <c r="D277" s="26" t="s">
        <v>425</v>
      </c>
      <c r="E277" s="69" t="s">
        <v>389</v>
      </c>
      <c r="F277" s="26">
        <v>4</v>
      </c>
      <c r="G277" s="28">
        <v>980</v>
      </c>
      <c r="H277" s="29" t="str">
        <f t="shared" si="20"/>
        <v>vừa</v>
      </c>
      <c r="I277" s="28">
        <v>185</v>
      </c>
      <c r="J277" s="43">
        <v>320</v>
      </c>
      <c r="K277" s="69"/>
      <c r="L277" s="72"/>
      <c r="M277" s="72"/>
      <c r="N277" s="72"/>
      <c r="O277" s="72"/>
      <c r="P277" s="72"/>
      <c r="Q277" s="72">
        <f t="shared" si="21"/>
        <v>3920</v>
      </c>
      <c r="R277" s="72"/>
      <c r="S277" s="72"/>
    </row>
    <row r="278" spans="1:19" s="73" customFormat="1" ht="19.899999999999999" customHeight="1" outlineLevel="1" x14ac:dyDescent="0.25">
      <c r="A278" s="1">
        <f>IF(B278&gt;0,SUM(MAX($A$10:A277),1),0)</f>
        <v>170</v>
      </c>
      <c r="B278" s="26">
        <v>8</v>
      </c>
      <c r="C278" s="27" t="s">
        <v>426</v>
      </c>
      <c r="D278" s="26" t="s">
        <v>426</v>
      </c>
      <c r="E278" s="69" t="s">
        <v>427</v>
      </c>
      <c r="F278" s="26">
        <v>3</v>
      </c>
      <c r="G278" s="28">
        <v>2500</v>
      </c>
      <c r="H278" s="29" t="str">
        <f t="shared" si="20"/>
        <v>vừa</v>
      </c>
      <c r="I278" s="28">
        <v>450</v>
      </c>
      <c r="J278" s="43">
        <v>450</v>
      </c>
      <c r="K278" s="69"/>
      <c r="L278" s="72"/>
      <c r="M278" s="72"/>
      <c r="N278" s="72"/>
      <c r="O278" s="72"/>
      <c r="P278" s="72"/>
      <c r="Q278" s="72">
        <f t="shared" si="21"/>
        <v>7500</v>
      </c>
      <c r="R278" s="72"/>
      <c r="S278" s="72"/>
    </row>
    <row r="279" spans="1:19" s="73" customFormat="1" ht="19.899999999999999" customHeight="1" outlineLevel="1" x14ac:dyDescent="0.25">
      <c r="A279" s="1">
        <f>IF(B279&gt;0,SUM(MAX($A$10:A278),1),0)</f>
        <v>171</v>
      </c>
      <c r="B279" s="202">
        <v>9</v>
      </c>
      <c r="C279" s="204" t="s">
        <v>428</v>
      </c>
      <c r="D279" s="202" t="s">
        <v>428</v>
      </c>
      <c r="E279" s="228" t="s">
        <v>429</v>
      </c>
      <c r="F279" s="26">
        <v>5</v>
      </c>
      <c r="G279" s="28">
        <v>1120</v>
      </c>
      <c r="H279" s="208" t="str">
        <f t="shared" si="20"/>
        <v>vừa</v>
      </c>
      <c r="I279" s="212">
        <v>230</v>
      </c>
      <c r="J279" s="226">
        <v>425</v>
      </c>
      <c r="K279" s="69"/>
      <c r="L279" s="72"/>
      <c r="M279" s="72"/>
      <c r="N279" s="72"/>
      <c r="O279" s="72"/>
      <c r="P279" s="72"/>
      <c r="Q279" s="72">
        <f>F279*G279+F280*G280+F281*G281</f>
        <v>11720</v>
      </c>
      <c r="R279" s="72"/>
      <c r="S279" s="72"/>
    </row>
    <row r="280" spans="1:19" s="73" customFormat="1" ht="19.899999999999999" customHeight="1" outlineLevel="1" x14ac:dyDescent="0.25">
      <c r="A280" s="1">
        <f>IF(B280&gt;0,SUM(MAX($A$10:A279),1),0)</f>
        <v>0</v>
      </c>
      <c r="B280" s="210"/>
      <c r="C280" s="205"/>
      <c r="D280" s="203"/>
      <c r="E280" s="229"/>
      <c r="F280" s="26">
        <v>2</v>
      </c>
      <c r="G280" s="28">
        <v>2500</v>
      </c>
      <c r="H280" s="209"/>
      <c r="I280" s="213"/>
      <c r="J280" s="227"/>
      <c r="K280" s="69"/>
      <c r="L280" s="72"/>
      <c r="M280" s="72"/>
      <c r="N280" s="72"/>
      <c r="O280" s="72"/>
      <c r="P280" s="72"/>
      <c r="Q280" s="72"/>
      <c r="R280" s="72"/>
      <c r="S280" s="72"/>
    </row>
    <row r="281" spans="1:19" s="73" customFormat="1" ht="19.899999999999999" customHeight="1" outlineLevel="1" x14ac:dyDescent="0.25">
      <c r="A281" s="1">
        <f>IF(B281&gt;0,SUM(MAX($A$10:A280),1),0)</f>
        <v>0</v>
      </c>
      <c r="B281" s="203"/>
      <c r="C281" s="27" t="s">
        <v>430</v>
      </c>
      <c r="D281" s="26" t="s">
        <v>391</v>
      </c>
      <c r="E281" s="69" t="s">
        <v>431</v>
      </c>
      <c r="F281" s="26">
        <v>1</v>
      </c>
      <c r="G281" s="28">
        <v>1120</v>
      </c>
      <c r="H281" s="80"/>
      <c r="I281" s="80"/>
      <c r="J281" s="80"/>
      <c r="K281" s="69"/>
      <c r="L281" s="72"/>
      <c r="M281" s="72"/>
      <c r="N281" s="72"/>
      <c r="O281" s="72"/>
      <c r="P281" s="72"/>
      <c r="Q281" s="72"/>
      <c r="R281" s="72"/>
      <c r="S281" s="72"/>
    </row>
    <row r="282" spans="1:19" s="73" customFormat="1" ht="19.899999999999999" customHeight="1" outlineLevel="1" x14ac:dyDescent="0.25">
      <c r="A282" s="1">
        <f>IF(B282&gt;0,SUM(MAX($A$10:A281),1),0)</f>
        <v>172</v>
      </c>
      <c r="B282" s="26">
        <v>10</v>
      </c>
      <c r="C282" s="27" t="s">
        <v>391</v>
      </c>
      <c r="D282" s="26" t="s">
        <v>391</v>
      </c>
      <c r="E282" s="69" t="s">
        <v>392</v>
      </c>
      <c r="F282" s="26">
        <v>4</v>
      </c>
      <c r="G282" s="28">
        <v>980</v>
      </c>
      <c r="H282" s="29" t="str">
        <f t="shared" ref="H282:H297" si="22">IF(AND(Q282&lt;3600,Q282&gt;0),"nhỏ",IF(AND(Q282&gt;=3600,Q282&lt;72000),"vừa",IF(Q282&lt;&gt;0,"lớn",0)))</f>
        <v>vừa</v>
      </c>
      <c r="I282" s="28">
        <v>280</v>
      </c>
      <c r="J282" s="43">
        <v>350</v>
      </c>
      <c r="K282" s="69"/>
      <c r="L282" s="72"/>
      <c r="M282" s="72"/>
      <c r="N282" s="72"/>
      <c r="O282" s="72"/>
      <c r="P282" s="72"/>
      <c r="Q282" s="72">
        <f>F282*G282</f>
        <v>3920</v>
      </c>
      <c r="R282" s="72"/>
      <c r="S282" s="72"/>
    </row>
    <row r="283" spans="1:19" s="73" customFormat="1" ht="19.899999999999999" customHeight="1" outlineLevel="1" x14ac:dyDescent="0.25">
      <c r="A283" s="1">
        <f>IF(B283&gt;0,SUM(MAX($A$10:A282),1),0)</f>
        <v>173</v>
      </c>
      <c r="B283" s="26">
        <v>11</v>
      </c>
      <c r="C283" s="27" t="s">
        <v>432</v>
      </c>
      <c r="D283" s="26" t="s">
        <v>407</v>
      </c>
      <c r="E283" s="69" t="s">
        <v>382</v>
      </c>
      <c r="F283" s="26">
        <v>3</v>
      </c>
      <c r="G283" s="28">
        <v>1900</v>
      </c>
      <c r="H283" s="29" t="str">
        <f t="shared" si="22"/>
        <v>vừa</v>
      </c>
      <c r="I283" s="28">
        <v>50</v>
      </c>
      <c r="J283" s="28">
        <v>50</v>
      </c>
      <c r="K283" s="69"/>
      <c r="L283" s="72"/>
      <c r="M283" s="72"/>
      <c r="N283" s="72"/>
      <c r="O283" s="72"/>
      <c r="P283" s="72"/>
      <c r="Q283" s="72">
        <f>F283*G283</f>
        <v>5700</v>
      </c>
      <c r="R283" s="72"/>
      <c r="S283" s="72"/>
    </row>
    <row r="284" spans="1:19" s="73" customFormat="1" ht="19.899999999999999" customHeight="1" outlineLevel="1" x14ac:dyDescent="0.25">
      <c r="A284" s="1">
        <f>IF(B284&gt;0,SUM(MAX($A$10:A283),1),0)</f>
        <v>174</v>
      </c>
      <c r="B284" s="26">
        <v>12</v>
      </c>
      <c r="C284" s="27" t="s">
        <v>433</v>
      </c>
      <c r="D284" s="26" t="s">
        <v>433</v>
      </c>
      <c r="E284" s="69" t="s">
        <v>355</v>
      </c>
      <c r="F284" s="26">
        <v>2</v>
      </c>
      <c r="G284" s="28">
        <v>980</v>
      </c>
      <c r="H284" s="29" t="str">
        <f t="shared" si="22"/>
        <v>nhỏ</v>
      </c>
      <c r="I284" s="28">
        <v>280</v>
      </c>
      <c r="J284" s="43">
        <f>+I284</f>
        <v>280</v>
      </c>
      <c r="K284" s="69"/>
      <c r="L284" s="72"/>
      <c r="M284" s="72"/>
      <c r="N284" s="72"/>
      <c r="O284" s="72"/>
      <c r="P284" s="72"/>
      <c r="Q284" s="72">
        <f>F284*G284</f>
        <v>1960</v>
      </c>
      <c r="R284" s="72"/>
      <c r="S284" s="72"/>
    </row>
    <row r="285" spans="1:19" s="73" customFormat="1" ht="19.899999999999999" customHeight="1" outlineLevel="1" x14ac:dyDescent="0.25">
      <c r="A285" s="1">
        <f>IF(B285&gt;0,SUM(MAX($A$10:A284),1),0)</f>
        <v>175</v>
      </c>
      <c r="B285" s="202">
        <v>13</v>
      </c>
      <c r="C285" s="204" t="s">
        <v>434</v>
      </c>
      <c r="D285" s="202" t="s">
        <v>381</v>
      </c>
      <c r="E285" s="231" t="s">
        <v>382</v>
      </c>
      <c r="F285" s="26">
        <v>1</v>
      </c>
      <c r="G285" s="28">
        <v>980</v>
      </c>
      <c r="H285" s="208" t="str">
        <f t="shared" si="22"/>
        <v>vừa</v>
      </c>
      <c r="I285" s="212">
        <v>265</v>
      </c>
      <c r="J285" s="226">
        <v>180</v>
      </c>
      <c r="K285" s="69"/>
      <c r="L285" s="72"/>
      <c r="M285" s="72"/>
      <c r="N285" s="72"/>
      <c r="O285" s="72"/>
      <c r="P285" s="72"/>
      <c r="Q285" s="72">
        <f>F285*G285+F286*G286</f>
        <v>5180</v>
      </c>
      <c r="R285" s="72"/>
      <c r="S285" s="72"/>
    </row>
    <row r="286" spans="1:19" s="73" customFormat="1" ht="19.899999999999999" customHeight="1" outlineLevel="1" x14ac:dyDescent="0.25">
      <c r="A286" s="1">
        <f>IF(B286&gt;0,SUM(MAX($A$10:A285),1),0)</f>
        <v>0</v>
      </c>
      <c r="B286" s="203"/>
      <c r="C286" s="205"/>
      <c r="D286" s="203"/>
      <c r="E286" s="232"/>
      <c r="F286" s="26">
        <v>3</v>
      </c>
      <c r="G286" s="28">
        <v>1400</v>
      </c>
      <c r="H286" s="209"/>
      <c r="I286" s="213"/>
      <c r="J286" s="227"/>
      <c r="K286" s="69"/>
      <c r="L286" s="72"/>
      <c r="M286" s="72"/>
      <c r="N286" s="72"/>
      <c r="O286" s="72"/>
      <c r="P286" s="72"/>
      <c r="Q286" s="72"/>
      <c r="R286" s="72"/>
      <c r="S286" s="72"/>
    </row>
    <row r="287" spans="1:19" s="73" customFormat="1" ht="19.899999999999999" customHeight="1" outlineLevel="1" x14ac:dyDescent="0.25">
      <c r="A287" s="1">
        <f>IF(B287&gt;0,SUM(MAX($A$10:A286),1),0)</f>
        <v>176</v>
      </c>
      <c r="B287" s="26">
        <v>14</v>
      </c>
      <c r="C287" s="27" t="s">
        <v>435</v>
      </c>
      <c r="D287" s="26" t="s">
        <v>407</v>
      </c>
      <c r="E287" s="69" t="s">
        <v>382</v>
      </c>
      <c r="F287" s="26">
        <v>2</v>
      </c>
      <c r="G287" s="28">
        <v>980</v>
      </c>
      <c r="H287" s="29" t="str">
        <f t="shared" si="22"/>
        <v>nhỏ</v>
      </c>
      <c r="I287" s="28">
        <v>40</v>
      </c>
      <c r="J287" s="43">
        <v>42</v>
      </c>
      <c r="K287" s="69"/>
      <c r="L287" s="72"/>
      <c r="M287" s="72"/>
      <c r="N287" s="72"/>
      <c r="O287" s="72"/>
      <c r="P287" s="72"/>
      <c r="Q287" s="72">
        <f>F287*G287</f>
        <v>1960</v>
      </c>
      <c r="R287" s="72"/>
      <c r="S287" s="72"/>
    </row>
    <row r="288" spans="1:19" s="73" customFormat="1" ht="19.899999999999999" customHeight="1" outlineLevel="1" x14ac:dyDescent="0.25">
      <c r="A288" s="1">
        <f>IF(B288&gt;0,SUM(MAX($A$10:A287),1),0)</f>
        <v>177</v>
      </c>
      <c r="B288" s="26">
        <v>15</v>
      </c>
      <c r="C288" s="27" t="s">
        <v>436</v>
      </c>
      <c r="D288" s="26" t="s">
        <v>407</v>
      </c>
      <c r="E288" s="69" t="s">
        <v>382</v>
      </c>
      <c r="F288" s="26">
        <v>1</v>
      </c>
      <c r="G288" s="28">
        <v>1120</v>
      </c>
      <c r="H288" s="29" t="str">
        <f t="shared" si="22"/>
        <v>nhỏ</v>
      </c>
      <c r="I288" s="28">
        <v>60</v>
      </c>
      <c r="J288" s="43">
        <v>80</v>
      </c>
      <c r="K288" s="69"/>
      <c r="L288" s="72"/>
      <c r="M288" s="72"/>
      <c r="N288" s="72"/>
      <c r="O288" s="72"/>
      <c r="P288" s="72"/>
      <c r="Q288" s="72">
        <f>F288*G288</f>
        <v>1120</v>
      </c>
      <c r="R288" s="72"/>
      <c r="S288" s="72"/>
    </row>
    <row r="289" spans="1:206" s="73" customFormat="1" ht="19.899999999999999" customHeight="1" outlineLevel="1" x14ac:dyDescent="0.25">
      <c r="A289" s="1">
        <f>IF(B289&gt;0,SUM(MAX($A$10:A288),1),0)</f>
        <v>178</v>
      </c>
      <c r="B289" s="202">
        <v>16</v>
      </c>
      <c r="C289" s="204" t="s">
        <v>437</v>
      </c>
      <c r="D289" s="202" t="s">
        <v>407</v>
      </c>
      <c r="E289" s="228" t="s">
        <v>382</v>
      </c>
      <c r="F289" s="26">
        <v>1</v>
      </c>
      <c r="G289" s="28">
        <v>980</v>
      </c>
      <c r="H289" s="208" t="str">
        <f t="shared" si="22"/>
        <v>nhỏ</v>
      </c>
      <c r="I289" s="212">
        <v>227</v>
      </c>
      <c r="J289" s="226">
        <v>60</v>
      </c>
      <c r="K289" s="69"/>
      <c r="L289" s="72"/>
      <c r="M289" s="72"/>
      <c r="N289" s="72"/>
      <c r="O289" s="72"/>
      <c r="P289" s="72"/>
      <c r="Q289" s="72">
        <f>F289*G289+F290*G290</f>
        <v>2100</v>
      </c>
      <c r="R289" s="72"/>
      <c r="S289" s="72"/>
    </row>
    <row r="290" spans="1:206" s="73" customFormat="1" ht="19.899999999999999" customHeight="1" outlineLevel="1" x14ac:dyDescent="0.25">
      <c r="A290" s="1">
        <f>IF(B290&gt;0,SUM(MAX($A$10:A289),1),0)</f>
        <v>0</v>
      </c>
      <c r="B290" s="203"/>
      <c r="C290" s="205"/>
      <c r="D290" s="203"/>
      <c r="E290" s="229"/>
      <c r="F290" s="26">
        <v>1</v>
      </c>
      <c r="G290" s="28">
        <v>1120</v>
      </c>
      <c r="H290" s="209"/>
      <c r="I290" s="213"/>
      <c r="J290" s="227"/>
      <c r="K290" s="69"/>
      <c r="L290" s="72"/>
      <c r="M290" s="72"/>
      <c r="N290" s="72"/>
      <c r="O290" s="72"/>
      <c r="P290" s="72"/>
      <c r="Q290" s="72"/>
      <c r="R290" s="72"/>
      <c r="S290" s="72"/>
    </row>
    <row r="291" spans="1:206" s="73" customFormat="1" ht="19.899999999999999" customHeight="1" outlineLevel="1" x14ac:dyDescent="0.25">
      <c r="A291" s="1">
        <f>IF(B291&gt;0,SUM(MAX($A$10:A290),1),0)</f>
        <v>179</v>
      </c>
      <c r="B291" s="26">
        <v>17</v>
      </c>
      <c r="C291" s="27" t="s">
        <v>438</v>
      </c>
      <c r="D291" s="26" t="s">
        <v>407</v>
      </c>
      <c r="E291" s="69" t="s">
        <v>202</v>
      </c>
      <c r="F291" s="26">
        <v>1</v>
      </c>
      <c r="G291" s="28">
        <v>900</v>
      </c>
      <c r="H291" s="29" t="str">
        <f t="shared" si="22"/>
        <v>nhỏ</v>
      </c>
      <c r="I291" s="28">
        <v>21</v>
      </c>
      <c r="J291" s="43">
        <v>21</v>
      </c>
      <c r="K291" s="69"/>
      <c r="L291" s="72"/>
      <c r="M291" s="72"/>
      <c r="N291" s="72"/>
      <c r="O291" s="72"/>
      <c r="P291" s="72"/>
      <c r="Q291" s="72">
        <f>F291*G291</f>
        <v>900</v>
      </c>
      <c r="R291" s="72"/>
      <c r="S291" s="72"/>
    </row>
    <row r="292" spans="1:206" s="73" customFormat="1" ht="19.899999999999999" customHeight="1" outlineLevel="1" x14ac:dyDescent="0.25">
      <c r="A292" s="1">
        <f>IF(B292&gt;0,SUM(MAX($A$10:A291),1),0)</f>
        <v>180</v>
      </c>
      <c r="B292" s="26">
        <v>18</v>
      </c>
      <c r="C292" s="27" t="s">
        <v>439</v>
      </c>
      <c r="D292" s="26" t="s">
        <v>407</v>
      </c>
      <c r="E292" s="69" t="s">
        <v>202</v>
      </c>
      <c r="F292" s="26">
        <v>2</v>
      </c>
      <c r="G292" s="28">
        <v>1400</v>
      </c>
      <c r="H292" s="29" t="str">
        <f t="shared" si="22"/>
        <v>nhỏ</v>
      </c>
      <c r="I292" s="28">
        <v>157</v>
      </c>
      <c r="J292" s="43">
        <v>63</v>
      </c>
      <c r="K292" s="69"/>
      <c r="L292" s="72"/>
      <c r="M292" s="72"/>
      <c r="N292" s="72"/>
      <c r="O292" s="72"/>
      <c r="P292" s="72"/>
      <c r="Q292" s="72">
        <f>F292*G292</f>
        <v>2800</v>
      </c>
      <c r="R292" s="72"/>
      <c r="S292" s="72"/>
    </row>
    <row r="293" spans="1:206" s="73" customFormat="1" ht="19.899999999999999" customHeight="1" outlineLevel="1" x14ac:dyDescent="0.25">
      <c r="A293" s="1">
        <f>IF(B293&gt;0,SUM(MAX($A$10:A292),1),0)</f>
        <v>181</v>
      </c>
      <c r="B293" s="26">
        <v>19</v>
      </c>
      <c r="C293" s="27" t="s">
        <v>440</v>
      </c>
      <c r="D293" s="26" t="s">
        <v>407</v>
      </c>
      <c r="E293" s="69" t="s">
        <v>389</v>
      </c>
      <c r="F293" s="26">
        <v>1</v>
      </c>
      <c r="G293" s="28">
        <v>1120</v>
      </c>
      <c r="H293" s="29" t="str">
        <f t="shared" si="22"/>
        <v>nhỏ</v>
      </c>
      <c r="I293" s="28">
        <v>67</v>
      </c>
      <c r="J293" s="43">
        <v>77</v>
      </c>
      <c r="K293" s="69"/>
      <c r="L293" s="72"/>
      <c r="M293" s="72"/>
      <c r="N293" s="72"/>
      <c r="O293" s="72"/>
      <c r="P293" s="72"/>
      <c r="Q293" s="72">
        <f>F293*G293</f>
        <v>1120</v>
      </c>
      <c r="R293" s="72"/>
      <c r="S293" s="72"/>
    </row>
    <row r="294" spans="1:206" s="73" customFormat="1" ht="19.899999999999999" customHeight="1" outlineLevel="1" x14ac:dyDescent="0.25">
      <c r="A294" s="1">
        <f>IF(B294&gt;0,SUM(MAX($A$10:A293),1),0)</f>
        <v>182</v>
      </c>
      <c r="B294" s="202">
        <v>20</v>
      </c>
      <c r="C294" s="204" t="s">
        <v>441</v>
      </c>
      <c r="D294" s="202" t="s">
        <v>421</v>
      </c>
      <c r="E294" s="228" t="s">
        <v>382</v>
      </c>
      <c r="F294" s="26">
        <v>1</v>
      </c>
      <c r="G294" s="28">
        <v>980</v>
      </c>
      <c r="H294" s="208" t="str">
        <f t="shared" si="22"/>
        <v>nhỏ</v>
      </c>
      <c r="I294" s="212">
        <v>77</v>
      </c>
      <c r="J294" s="226">
        <v>117</v>
      </c>
      <c r="K294" s="69"/>
      <c r="L294" s="72"/>
      <c r="M294" s="72"/>
      <c r="N294" s="72"/>
      <c r="O294" s="72"/>
      <c r="P294" s="72"/>
      <c r="Q294" s="72">
        <f>F294*G294+F295*G295</f>
        <v>1880</v>
      </c>
      <c r="R294" s="72"/>
      <c r="S294" s="72"/>
    </row>
    <row r="295" spans="1:206" s="76" customFormat="1" ht="19.899999999999999" customHeight="1" x14ac:dyDescent="0.25">
      <c r="A295" s="1">
        <f>IF(B295&gt;0,SUM(MAX($A$10:A294),1),0)</f>
        <v>0</v>
      </c>
      <c r="B295" s="203"/>
      <c r="C295" s="205"/>
      <c r="D295" s="203"/>
      <c r="E295" s="229"/>
      <c r="F295" s="26">
        <v>1</v>
      </c>
      <c r="G295" s="28">
        <v>900</v>
      </c>
      <c r="H295" s="209"/>
      <c r="I295" s="213"/>
      <c r="J295" s="227"/>
      <c r="K295" s="64"/>
      <c r="L295" s="75"/>
      <c r="M295" s="75"/>
      <c r="N295" s="75"/>
      <c r="O295" s="75"/>
      <c r="P295" s="75"/>
      <c r="Q295" s="72"/>
      <c r="R295" s="75"/>
      <c r="S295" s="75"/>
    </row>
    <row r="296" spans="1:206" s="73" customFormat="1" ht="19.899999999999999" customHeight="1" outlineLevel="1" x14ac:dyDescent="0.25">
      <c r="A296" s="1">
        <f>IF(B296&gt;0,SUM(MAX($A$10:A295),1),0)</f>
        <v>183</v>
      </c>
      <c r="B296" s="26">
        <v>21</v>
      </c>
      <c r="C296" s="27" t="s">
        <v>442</v>
      </c>
      <c r="D296" s="26" t="s">
        <v>421</v>
      </c>
      <c r="E296" s="69" t="s">
        <v>382</v>
      </c>
      <c r="F296" s="26">
        <v>2</v>
      </c>
      <c r="G296" s="28">
        <v>980</v>
      </c>
      <c r="H296" s="29" t="str">
        <f t="shared" si="22"/>
        <v>nhỏ</v>
      </c>
      <c r="I296" s="29"/>
      <c r="J296" s="29"/>
      <c r="K296" s="69"/>
      <c r="L296" s="72"/>
      <c r="M296" s="72"/>
      <c r="N296" s="72"/>
      <c r="O296" s="72"/>
      <c r="P296" s="72"/>
      <c r="Q296" s="72">
        <f>F296*G296</f>
        <v>1960</v>
      </c>
      <c r="R296" s="72"/>
      <c r="S296" s="72"/>
    </row>
    <row r="297" spans="1:206" s="73" customFormat="1" ht="33" customHeight="1" outlineLevel="1" x14ac:dyDescent="0.25">
      <c r="A297" s="1">
        <f>IF(B297&gt;0,SUM(MAX($A$10:A296),1),0)</f>
        <v>184</v>
      </c>
      <c r="B297" s="202">
        <f>SUM(MAX(B289:B296),1)</f>
        <v>22</v>
      </c>
      <c r="C297" s="204" t="s">
        <v>443</v>
      </c>
      <c r="D297" s="202" t="s">
        <v>381</v>
      </c>
      <c r="E297" s="228" t="s">
        <v>403</v>
      </c>
      <c r="F297" s="26">
        <v>1</v>
      </c>
      <c r="G297" s="28">
        <v>980</v>
      </c>
      <c r="H297" s="208" t="str">
        <f t="shared" si="22"/>
        <v>nhỏ</v>
      </c>
      <c r="I297" s="212">
        <v>55</v>
      </c>
      <c r="J297" s="208"/>
      <c r="K297" s="69"/>
      <c r="L297" s="72"/>
      <c r="M297" s="72"/>
      <c r="N297" s="72"/>
      <c r="O297" s="72"/>
      <c r="P297" s="72"/>
      <c r="Q297" s="72">
        <f>F297*G297+F298*G298</f>
        <v>3220</v>
      </c>
      <c r="R297" s="72"/>
      <c r="S297" s="72"/>
    </row>
    <row r="298" spans="1:206" s="73" customFormat="1" ht="19.899999999999999" customHeight="1" outlineLevel="1" x14ac:dyDescent="0.25">
      <c r="A298" s="1">
        <f>IF(B298&gt;0,SUM(MAX($A$10:A297),1),0)</f>
        <v>0</v>
      </c>
      <c r="B298" s="203"/>
      <c r="C298" s="205"/>
      <c r="D298" s="203"/>
      <c r="E298" s="229"/>
      <c r="F298" s="26">
        <v>2</v>
      </c>
      <c r="G298" s="28">
        <v>1120</v>
      </c>
      <c r="H298" s="209"/>
      <c r="I298" s="213"/>
      <c r="J298" s="209"/>
      <c r="K298" s="69"/>
      <c r="L298" s="72"/>
      <c r="M298" s="72"/>
      <c r="N298" s="72"/>
      <c r="O298" s="72"/>
      <c r="P298" s="72"/>
      <c r="Q298" s="72"/>
      <c r="R298" s="72"/>
      <c r="S298" s="72"/>
    </row>
    <row r="299" spans="1:206" s="82" customFormat="1" ht="19.899999999999999" customHeight="1" x14ac:dyDescent="0.25">
      <c r="A299" s="1"/>
      <c r="B299" s="22" t="s">
        <v>444</v>
      </c>
      <c r="C299" s="20" t="s">
        <v>445</v>
      </c>
      <c r="D299" s="22" t="str">
        <f>CONCATENATE(COUNT(B299:B310)," trạm")</f>
        <v>6 trạm</v>
      </c>
      <c r="E299" s="22"/>
      <c r="F299" s="81">
        <f>SUM(F300,F306)</f>
        <v>38</v>
      </c>
      <c r="G299" s="31"/>
      <c r="H299" s="49"/>
      <c r="I299" s="49"/>
      <c r="J299" s="49"/>
      <c r="K299" s="50"/>
      <c r="L299" s="51">
        <f>+L300+L306</f>
        <v>0</v>
      </c>
      <c r="M299" s="51">
        <f>+M300+M306</f>
        <v>6</v>
      </c>
      <c r="N299" s="51">
        <f>+N300+N306</f>
        <v>0</v>
      </c>
      <c r="O299" s="52"/>
      <c r="P299" s="52"/>
      <c r="Q299" s="51">
        <f>Q300+Q306</f>
        <v>111970</v>
      </c>
      <c r="R299" s="52"/>
      <c r="S299" s="52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  <c r="CG299" s="53"/>
      <c r="CH299" s="53"/>
      <c r="CI299" s="53"/>
      <c r="CJ299" s="53"/>
      <c r="CK299" s="53"/>
      <c r="CL299" s="53"/>
      <c r="CM299" s="53"/>
      <c r="CN299" s="53"/>
      <c r="CO299" s="53"/>
      <c r="CP299" s="53"/>
      <c r="CQ299" s="53"/>
      <c r="CR299" s="53"/>
      <c r="CS299" s="53"/>
      <c r="CT299" s="53"/>
      <c r="CU299" s="53"/>
      <c r="CV299" s="53"/>
      <c r="CW299" s="53"/>
      <c r="CX299" s="53"/>
      <c r="CY299" s="53"/>
      <c r="CZ299" s="53"/>
      <c r="DA299" s="53"/>
      <c r="DB299" s="53"/>
      <c r="DC299" s="53"/>
      <c r="DD299" s="53"/>
      <c r="DE299" s="53"/>
      <c r="DF299" s="53"/>
      <c r="DG299" s="53"/>
      <c r="DH299" s="53"/>
      <c r="DI299" s="53"/>
      <c r="DJ299" s="53"/>
      <c r="DK299" s="53"/>
      <c r="DL299" s="53"/>
      <c r="DM299" s="53"/>
      <c r="DN299" s="53"/>
      <c r="DO299" s="53"/>
      <c r="DP299" s="53"/>
      <c r="DQ299" s="53"/>
      <c r="DR299" s="53"/>
      <c r="DS299" s="53"/>
      <c r="DT299" s="53"/>
      <c r="DU299" s="53"/>
      <c r="DV299" s="53"/>
      <c r="DW299" s="53"/>
      <c r="DX299" s="53"/>
      <c r="DY299" s="53"/>
      <c r="DZ299" s="53"/>
      <c r="EA299" s="53"/>
      <c r="EB299" s="53"/>
      <c r="EC299" s="53"/>
      <c r="ED299" s="53"/>
      <c r="EE299" s="53"/>
      <c r="EF299" s="53"/>
      <c r="EG299" s="53"/>
      <c r="EH299" s="53"/>
      <c r="EI299" s="53"/>
      <c r="EJ299" s="53"/>
      <c r="EK299" s="53"/>
      <c r="EL299" s="53"/>
      <c r="EM299" s="53"/>
      <c r="EN299" s="53"/>
      <c r="EO299" s="53"/>
      <c r="EP299" s="53"/>
      <c r="EQ299" s="53"/>
      <c r="ER299" s="53"/>
      <c r="ES299" s="53"/>
      <c r="ET299" s="53"/>
      <c r="EU299" s="53"/>
      <c r="EV299" s="53"/>
      <c r="EW299" s="53"/>
      <c r="EX299" s="53"/>
      <c r="EY299" s="53"/>
      <c r="EZ299" s="53"/>
      <c r="FA299" s="53"/>
      <c r="FB299" s="53"/>
      <c r="FC299" s="53"/>
      <c r="FD299" s="53"/>
      <c r="FE299" s="53"/>
      <c r="FF299" s="53"/>
      <c r="FG299" s="53"/>
      <c r="FH299" s="53"/>
      <c r="FI299" s="53"/>
      <c r="FJ299" s="53"/>
      <c r="FK299" s="53"/>
      <c r="FL299" s="53"/>
      <c r="FM299" s="53"/>
      <c r="FN299" s="53"/>
      <c r="FO299" s="53"/>
      <c r="FP299" s="53"/>
      <c r="FQ299" s="53"/>
      <c r="FR299" s="53"/>
      <c r="FS299" s="53"/>
      <c r="FT299" s="53"/>
      <c r="FU299" s="53"/>
      <c r="FV299" s="53"/>
      <c r="FW299" s="53"/>
      <c r="FX299" s="53"/>
      <c r="FY299" s="53"/>
      <c r="FZ299" s="53"/>
      <c r="GA299" s="53"/>
      <c r="GB299" s="53"/>
      <c r="GC299" s="53"/>
      <c r="GD299" s="53"/>
      <c r="GE299" s="53"/>
      <c r="GF299" s="53"/>
      <c r="GG299" s="53"/>
      <c r="GH299" s="53"/>
      <c r="GI299" s="53"/>
      <c r="GJ299" s="53"/>
      <c r="GK299" s="53"/>
      <c r="GL299" s="53"/>
      <c r="GM299" s="53"/>
      <c r="GN299" s="53"/>
      <c r="GO299" s="53"/>
      <c r="GP299" s="53"/>
      <c r="GQ299" s="53"/>
      <c r="GR299" s="53"/>
      <c r="GS299" s="53"/>
      <c r="GT299" s="53"/>
      <c r="GU299" s="53"/>
      <c r="GV299" s="53"/>
      <c r="GW299" s="53"/>
      <c r="GX299" s="53"/>
    </row>
    <row r="300" spans="1:206" s="83" customFormat="1" ht="19.899999999999999" customHeight="1" x14ac:dyDescent="0.25">
      <c r="A300" s="1">
        <f>IF(B300&gt;0,SUM(MAX($A$10:A299),1),0)</f>
        <v>0</v>
      </c>
      <c r="B300" s="22"/>
      <c r="C300" s="20" t="s">
        <v>446</v>
      </c>
      <c r="D300" s="22" t="str">
        <f>CONCATENATE(COUNT(B300:B306)," trạm")</f>
        <v>3 trạm</v>
      </c>
      <c r="E300" s="22"/>
      <c r="F300" s="81">
        <f>SUM(F301:F305)</f>
        <v>28</v>
      </c>
      <c r="G300" s="31"/>
      <c r="H300" s="49"/>
      <c r="I300" s="49"/>
      <c r="J300" s="49"/>
      <c r="K300" s="50"/>
      <c r="L300" s="25">
        <f>COUNTIF(H301:H305,"lớn")</f>
        <v>0</v>
      </c>
      <c r="M300" s="25">
        <f>COUNTIF(H301:H305,"vừa")</f>
        <v>3</v>
      </c>
      <c r="N300" s="25">
        <f>COUNTIF(H301:H305,"nhỏ")</f>
        <v>0</v>
      </c>
      <c r="O300" s="52"/>
      <c r="P300" s="52"/>
      <c r="Q300" s="51">
        <f>SUM(Q301:Q305)</f>
        <v>35800</v>
      </c>
      <c r="R300" s="52"/>
      <c r="S300" s="52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  <c r="CG300" s="53"/>
      <c r="CH300" s="53"/>
      <c r="CI300" s="53"/>
      <c r="CJ300" s="53"/>
      <c r="CK300" s="53"/>
      <c r="CL300" s="53"/>
      <c r="CM300" s="53"/>
      <c r="CN300" s="53"/>
      <c r="CO300" s="53"/>
      <c r="CP300" s="53"/>
      <c r="CQ300" s="53"/>
      <c r="CR300" s="53"/>
      <c r="CS300" s="53"/>
      <c r="CT300" s="53"/>
      <c r="CU300" s="53"/>
      <c r="CV300" s="53"/>
      <c r="CW300" s="53"/>
      <c r="CX300" s="53"/>
      <c r="CY300" s="53"/>
      <c r="CZ300" s="53"/>
      <c r="DA300" s="53"/>
      <c r="DB300" s="53"/>
      <c r="DC300" s="53"/>
      <c r="DD300" s="53"/>
      <c r="DE300" s="53"/>
      <c r="DF300" s="53"/>
      <c r="DG300" s="53"/>
      <c r="DH300" s="53"/>
      <c r="DI300" s="53"/>
      <c r="DJ300" s="53"/>
      <c r="DK300" s="53"/>
      <c r="DL300" s="53"/>
      <c r="DM300" s="53"/>
      <c r="DN300" s="53"/>
      <c r="DO300" s="53"/>
      <c r="DP300" s="53"/>
      <c r="DQ300" s="53"/>
      <c r="DR300" s="53"/>
      <c r="DS300" s="53"/>
      <c r="DT300" s="53"/>
      <c r="DU300" s="53"/>
      <c r="DV300" s="53"/>
      <c r="DW300" s="53"/>
      <c r="DX300" s="53"/>
      <c r="DY300" s="53"/>
      <c r="DZ300" s="53"/>
      <c r="EA300" s="53"/>
      <c r="EB300" s="53"/>
      <c r="EC300" s="53"/>
      <c r="ED300" s="53"/>
      <c r="EE300" s="53"/>
      <c r="EF300" s="53"/>
      <c r="EG300" s="53"/>
      <c r="EH300" s="53"/>
      <c r="EI300" s="53"/>
      <c r="EJ300" s="53"/>
      <c r="EK300" s="53"/>
      <c r="EL300" s="53"/>
      <c r="EM300" s="53"/>
      <c r="EN300" s="53"/>
      <c r="EO300" s="53"/>
      <c r="EP300" s="53"/>
      <c r="EQ300" s="53"/>
      <c r="ER300" s="53"/>
      <c r="ES300" s="53"/>
      <c r="ET300" s="53"/>
      <c r="EU300" s="53"/>
      <c r="EV300" s="53"/>
      <c r="EW300" s="53"/>
      <c r="EX300" s="53"/>
      <c r="EY300" s="53"/>
      <c r="EZ300" s="53"/>
      <c r="FA300" s="53"/>
      <c r="FB300" s="53"/>
      <c r="FC300" s="53"/>
      <c r="FD300" s="53"/>
      <c r="FE300" s="53"/>
      <c r="FF300" s="53"/>
      <c r="FG300" s="53"/>
      <c r="FH300" s="53"/>
      <c r="FI300" s="53"/>
      <c r="FJ300" s="53"/>
      <c r="FK300" s="53"/>
      <c r="FL300" s="53"/>
      <c r="FM300" s="53"/>
      <c r="FN300" s="53"/>
      <c r="FO300" s="53"/>
      <c r="FP300" s="53"/>
      <c r="FQ300" s="53"/>
      <c r="FR300" s="53"/>
      <c r="FS300" s="53"/>
      <c r="FT300" s="53"/>
      <c r="FU300" s="53"/>
      <c r="FV300" s="53"/>
      <c r="FW300" s="53"/>
      <c r="FX300" s="53"/>
      <c r="FY300" s="53"/>
      <c r="FZ300" s="53"/>
      <c r="GA300" s="53"/>
      <c r="GB300" s="53"/>
      <c r="GC300" s="53"/>
      <c r="GD300" s="53"/>
      <c r="GE300" s="53"/>
      <c r="GF300" s="53"/>
      <c r="GG300" s="53"/>
      <c r="GH300" s="53"/>
      <c r="GI300" s="53"/>
      <c r="GJ300" s="53"/>
      <c r="GK300" s="53"/>
      <c r="GL300" s="53"/>
      <c r="GM300" s="53"/>
      <c r="GN300" s="53"/>
      <c r="GO300" s="53"/>
      <c r="GP300" s="53"/>
      <c r="GQ300" s="53"/>
      <c r="GR300" s="53"/>
      <c r="GS300" s="53"/>
      <c r="GT300" s="53"/>
      <c r="GU300" s="53"/>
      <c r="GV300" s="53"/>
      <c r="GW300" s="53"/>
      <c r="GX300" s="53"/>
    </row>
    <row r="301" spans="1:206" s="86" customFormat="1" ht="19.899999999999999" customHeight="1" outlineLevel="1" x14ac:dyDescent="0.25">
      <c r="A301" s="1">
        <f>IF(B301&gt;0,SUM(MAX($A$10:A300),1),0)</f>
        <v>185</v>
      </c>
      <c r="B301" s="233">
        <v>1</v>
      </c>
      <c r="C301" s="84" t="s">
        <v>447</v>
      </c>
      <c r="D301" s="233" t="s">
        <v>448</v>
      </c>
      <c r="E301" s="206" t="s">
        <v>26</v>
      </c>
      <c r="F301" s="85">
        <v>4</v>
      </c>
      <c r="G301" s="85">
        <v>3000</v>
      </c>
      <c r="H301" s="208" t="str">
        <f>IF(AND(Q301&lt;3600,Q301&gt;0),"nhỏ",IF(AND(Q301&gt;=3600,Q301&lt;72000),"vừa",IF(Q301&lt;&gt;0,"lớn",0)))</f>
        <v>vừa</v>
      </c>
      <c r="I301" s="28">
        <v>37</v>
      </c>
      <c r="J301" s="29"/>
      <c r="K301" s="31" t="s">
        <v>449</v>
      </c>
      <c r="L301" s="55"/>
      <c r="M301" s="56"/>
      <c r="N301" s="56"/>
      <c r="O301" s="56"/>
      <c r="P301" s="56"/>
      <c r="Q301" s="55">
        <f>F301*G301+F302*G302+F303*G303</f>
        <v>22080</v>
      </c>
      <c r="R301" s="56"/>
      <c r="S301" s="56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57"/>
      <c r="BS301" s="57"/>
      <c r="BT301" s="57"/>
      <c r="BU301" s="57"/>
      <c r="BV301" s="57"/>
      <c r="BW301" s="57"/>
      <c r="BX301" s="57"/>
      <c r="BY301" s="57"/>
      <c r="BZ301" s="57"/>
      <c r="CA301" s="57"/>
      <c r="CB301" s="57"/>
      <c r="CC301" s="57"/>
      <c r="CD301" s="57"/>
      <c r="CE301" s="57"/>
      <c r="CF301" s="57"/>
      <c r="CG301" s="57"/>
      <c r="CH301" s="57"/>
      <c r="CI301" s="57"/>
      <c r="CJ301" s="57"/>
      <c r="CK301" s="57"/>
      <c r="CL301" s="57"/>
      <c r="CM301" s="57"/>
      <c r="CN301" s="57"/>
      <c r="CO301" s="57"/>
      <c r="CP301" s="57"/>
      <c r="CQ301" s="57"/>
      <c r="CR301" s="57"/>
      <c r="CS301" s="57"/>
      <c r="CT301" s="57"/>
      <c r="CU301" s="57"/>
      <c r="CV301" s="57"/>
      <c r="CW301" s="57"/>
      <c r="CX301" s="57"/>
      <c r="CY301" s="57"/>
      <c r="CZ301" s="57"/>
      <c r="DA301" s="57"/>
      <c r="DB301" s="57"/>
      <c r="DC301" s="57"/>
      <c r="DD301" s="57"/>
      <c r="DE301" s="57"/>
      <c r="DF301" s="57"/>
      <c r="DG301" s="57"/>
      <c r="DH301" s="57"/>
      <c r="DI301" s="57"/>
      <c r="DJ301" s="57"/>
      <c r="DK301" s="57"/>
      <c r="DL301" s="57"/>
      <c r="DM301" s="57"/>
      <c r="DN301" s="57"/>
      <c r="DO301" s="57"/>
      <c r="DP301" s="57"/>
      <c r="DQ301" s="57"/>
      <c r="DR301" s="57"/>
      <c r="DS301" s="57"/>
      <c r="DT301" s="57"/>
      <c r="DU301" s="57"/>
      <c r="DV301" s="57"/>
      <c r="DW301" s="57"/>
      <c r="DX301" s="57"/>
      <c r="DY301" s="57"/>
      <c r="DZ301" s="57"/>
      <c r="EA301" s="57"/>
      <c r="EB301" s="57"/>
      <c r="EC301" s="57"/>
      <c r="ED301" s="57"/>
      <c r="EE301" s="57"/>
      <c r="EF301" s="57"/>
      <c r="EG301" s="57"/>
      <c r="EH301" s="57"/>
      <c r="EI301" s="57"/>
      <c r="EJ301" s="57"/>
      <c r="EK301" s="57"/>
      <c r="EL301" s="57"/>
      <c r="EM301" s="57"/>
      <c r="EN301" s="57"/>
      <c r="EO301" s="57"/>
      <c r="EP301" s="57"/>
      <c r="EQ301" s="57"/>
      <c r="ER301" s="57"/>
      <c r="ES301" s="57"/>
      <c r="ET301" s="57"/>
      <c r="EU301" s="57"/>
      <c r="EV301" s="57"/>
      <c r="EW301" s="57"/>
      <c r="EX301" s="57"/>
      <c r="EY301" s="57"/>
      <c r="EZ301" s="57"/>
      <c r="FA301" s="57"/>
      <c r="FB301" s="57"/>
      <c r="FC301" s="57"/>
      <c r="FD301" s="57"/>
      <c r="FE301" s="57"/>
      <c r="FF301" s="57"/>
      <c r="FG301" s="57"/>
      <c r="FH301" s="57"/>
      <c r="FI301" s="57"/>
      <c r="FJ301" s="57"/>
      <c r="FK301" s="57"/>
      <c r="FL301" s="57"/>
      <c r="FM301" s="57"/>
      <c r="FN301" s="57"/>
      <c r="FO301" s="57"/>
      <c r="FP301" s="57"/>
      <c r="FQ301" s="57"/>
      <c r="FR301" s="57"/>
      <c r="FS301" s="57"/>
      <c r="FT301" s="57"/>
      <c r="FU301" s="57"/>
      <c r="FV301" s="57"/>
      <c r="FW301" s="57"/>
      <c r="FX301" s="57"/>
      <c r="FY301" s="57"/>
      <c r="FZ301" s="57"/>
      <c r="GA301" s="57"/>
      <c r="GB301" s="57"/>
      <c r="GC301" s="57"/>
      <c r="GD301" s="57"/>
      <c r="GE301" s="57"/>
      <c r="GF301" s="57"/>
      <c r="GG301" s="57"/>
      <c r="GH301" s="57"/>
      <c r="GI301" s="57"/>
      <c r="GJ301" s="57"/>
      <c r="GK301" s="57"/>
      <c r="GL301" s="57"/>
      <c r="GM301" s="57"/>
      <c r="GN301" s="57"/>
      <c r="GO301" s="57"/>
      <c r="GP301" s="57"/>
      <c r="GQ301" s="57"/>
      <c r="GR301" s="57"/>
      <c r="GS301" s="57"/>
      <c r="GT301" s="57"/>
      <c r="GU301" s="57"/>
      <c r="GV301" s="57"/>
      <c r="GW301" s="57"/>
      <c r="GX301" s="57"/>
    </row>
    <row r="302" spans="1:206" s="86" customFormat="1" ht="19.899999999999999" customHeight="1" outlineLevel="1" x14ac:dyDescent="0.25">
      <c r="A302" s="1">
        <f>IF(B302&gt;0,SUM(MAX($A$10:A301),1),0)</f>
        <v>0</v>
      </c>
      <c r="B302" s="233"/>
      <c r="C302" s="234" t="s">
        <v>450</v>
      </c>
      <c r="D302" s="233"/>
      <c r="E302" s="217"/>
      <c r="F302" s="85">
        <v>2</v>
      </c>
      <c r="G302" s="85">
        <v>1120</v>
      </c>
      <c r="H302" s="211"/>
      <c r="I302" s="212">
        <v>111</v>
      </c>
      <c r="J302" s="87"/>
      <c r="K302" s="31" t="s">
        <v>451</v>
      </c>
      <c r="L302" s="55"/>
      <c r="M302" s="56"/>
      <c r="N302" s="56"/>
      <c r="O302" s="56"/>
      <c r="P302" s="56"/>
      <c r="Q302" s="55"/>
      <c r="R302" s="56"/>
      <c r="S302" s="56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7"/>
      <c r="DL302" s="57"/>
      <c r="DM302" s="57"/>
      <c r="DN302" s="57"/>
      <c r="DO302" s="57"/>
      <c r="DP302" s="57"/>
      <c r="DQ302" s="57"/>
      <c r="DR302" s="57"/>
      <c r="DS302" s="57"/>
      <c r="DT302" s="57"/>
      <c r="DU302" s="57"/>
      <c r="DV302" s="57"/>
      <c r="DW302" s="57"/>
      <c r="DX302" s="57"/>
      <c r="DY302" s="57"/>
      <c r="DZ302" s="57"/>
      <c r="EA302" s="57"/>
      <c r="EB302" s="57"/>
      <c r="EC302" s="57"/>
      <c r="ED302" s="57"/>
      <c r="EE302" s="57"/>
      <c r="EF302" s="57"/>
      <c r="EG302" s="57"/>
      <c r="EH302" s="57"/>
      <c r="EI302" s="57"/>
      <c r="EJ302" s="57"/>
      <c r="EK302" s="57"/>
      <c r="EL302" s="57"/>
      <c r="EM302" s="57"/>
      <c r="EN302" s="57"/>
      <c r="EO302" s="57"/>
      <c r="EP302" s="57"/>
      <c r="EQ302" s="57"/>
      <c r="ER302" s="57"/>
      <c r="ES302" s="57"/>
      <c r="ET302" s="57"/>
      <c r="EU302" s="57"/>
      <c r="EV302" s="57"/>
      <c r="EW302" s="57"/>
      <c r="EX302" s="57"/>
      <c r="EY302" s="57"/>
      <c r="EZ302" s="57"/>
      <c r="FA302" s="57"/>
      <c r="FB302" s="57"/>
      <c r="FC302" s="57"/>
      <c r="FD302" s="57"/>
      <c r="FE302" s="57"/>
      <c r="FF302" s="57"/>
      <c r="FG302" s="57"/>
      <c r="FH302" s="57"/>
      <c r="FI302" s="57"/>
      <c r="FJ302" s="57"/>
      <c r="FK302" s="57"/>
      <c r="FL302" s="57"/>
      <c r="FM302" s="57"/>
      <c r="FN302" s="57"/>
      <c r="FO302" s="57"/>
      <c r="FP302" s="57"/>
      <c r="FQ302" s="57"/>
      <c r="FR302" s="57"/>
      <c r="FS302" s="57"/>
      <c r="FT302" s="57"/>
      <c r="FU302" s="57"/>
      <c r="FV302" s="57"/>
      <c r="FW302" s="57"/>
      <c r="FX302" s="57"/>
      <c r="FY302" s="57"/>
      <c r="FZ302" s="57"/>
      <c r="GA302" s="57"/>
      <c r="GB302" s="57"/>
      <c r="GC302" s="57"/>
      <c r="GD302" s="57"/>
      <c r="GE302" s="57"/>
      <c r="GF302" s="57"/>
      <c r="GG302" s="57"/>
      <c r="GH302" s="57"/>
      <c r="GI302" s="57"/>
      <c r="GJ302" s="57"/>
      <c r="GK302" s="57"/>
      <c r="GL302" s="57"/>
      <c r="GM302" s="57"/>
      <c r="GN302" s="57"/>
      <c r="GO302" s="57"/>
      <c r="GP302" s="57"/>
      <c r="GQ302" s="57"/>
      <c r="GR302" s="57"/>
      <c r="GS302" s="57"/>
      <c r="GT302" s="57"/>
      <c r="GU302" s="57"/>
      <c r="GV302" s="57"/>
      <c r="GW302" s="57"/>
      <c r="GX302" s="57"/>
    </row>
    <row r="303" spans="1:206" s="86" customFormat="1" ht="19.899999999999999" customHeight="1" outlineLevel="1" x14ac:dyDescent="0.25">
      <c r="A303" s="1">
        <f>IF(B303&gt;0,SUM(MAX($A$10:A302),1),0)</f>
        <v>0</v>
      </c>
      <c r="B303" s="233"/>
      <c r="C303" s="234"/>
      <c r="D303" s="233"/>
      <c r="E303" s="207"/>
      <c r="F303" s="85">
        <v>8</v>
      </c>
      <c r="G303" s="85">
        <v>980</v>
      </c>
      <c r="H303" s="209"/>
      <c r="I303" s="213"/>
      <c r="J303" s="87"/>
      <c r="K303" s="54"/>
      <c r="L303" s="55"/>
      <c r="M303" s="56"/>
      <c r="N303" s="56"/>
      <c r="O303" s="56"/>
      <c r="P303" s="56"/>
      <c r="Q303" s="55"/>
      <c r="R303" s="56"/>
      <c r="S303" s="56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  <c r="DO303" s="57"/>
      <c r="DP303" s="57"/>
      <c r="DQ303" s="57"/>
      <c r="DR303" s="57"/>
      <c r="DS303" s="57"/>
      <c r="DT303" s="57"/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  <c r="EF303" s="57"/>
      <c r="EG303" s="57"/>
      <c r="EH303" s="57"/>
      <c r="EI303" s="57"/>
      <c r="EJ303" s="57"/>
      <c r="EK303" s="57"/>
      <c r="EL303" s="57"/>
      <c r="EM303" s="57"/>
      <c r="EN303" s="57"/>
      <c r="EO303" s="57"/>
      <c r="EP303" s="57"/>
      <c r="EQ303" s="57"/>
      <c r="ER303" s="57"/>
      <c r="ES303" s="57"/>
      <c r="ET303" s="57"/>
      <c r="EU303" s="57"/>
      <c r="EV303" s="57"/>
      <c r="EW303" s="57"/>
      <c r="EX303" s="57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57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7"/>
      <c r="GO303" s="57"/>
      <c r="GP303" s="57"/>
      <c r="GQ303" s="57"/>
      <c r="GR303" s="57"/>
      <c r="GS303" s="57"/>
      <c r="GT303" s="57"/>
      <c r="GU303" s="57"/>
      <c r="GV303" s="57"/>
      <c r="GW303" s="57"/>
      <c r="GX303" s="57"/>
    </row>
    <row r="304" spans="1:206" s="86" customFormat="1" ht="19.899999999999999" customHeight="1" outlineLevel="1" x14ac:dyDescent="0.25">
      <c r="A304" s="1">
        <f>IF(B304&gt;0,SUM(MAX($A$10:A303),1),0)</f>
        <v>186</v>
      </c>
      <c r="B304" s="87">
        <v>2</v>
      </c>
      <c r="C304" s="84" t="s">
        <v>452</v>
      </c>
      <c r="D304" s="87" t="s">
        <v>453</v>
      </c>
      <c r="E304" s="30" t="s">
        <v>26</v>
      </c>
      <c r="F304" s="85">
        <v>4</v>
      </c>
      <c r="G304" s="85">
        <v>980</v>
      </c>
      <c r="H304" s="29" t="str">
        <f t="shared" ref="H304:H310" si="23">IF(AND(Q304&lt;3600,Q304&gt;0),"nhỏ",IF(AND(Q304&gt;=3600,Q304&lt;72000),"vừa",IF(Q304&lt;&gt;0,"lớn",0)))</f>
        <v>vừa</v>
      </c>
      <c r="I304" s="28">
        <v>364.7</v>
      </c>
      <c r="J304" s="31"/>
      <c r="K304" s="31" t="s">
        <v>454</v>
      </c>
      <c r="L304" s="55"/>
      <c r="M304" s="56"/>
      <c r="N304" s="56"/>
      <c r="O304" s="56"/>
      <c r="P304" s="56"/>
      <c r="Q304" s="55">
        <f>F304*G304</f>
        <v>3920</v>
      </c>
      <c r="R304" s="56"/>
      <c r="S304" s="56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/>
      <c r="DR304" s="57"/>
      <c r="DS304" s="57"/>
      <c r="DT304" s="57"/>
      <c r="DU304" s="57"/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  <c r="EF304" s="57"/>
      <c r="EG304" s="57"/>
      <c r="EH304" s="57"/>
      <c r="EI304" s="57"/>
      <c r="EJ304" s="57"/>
      <c r="EK304" s="57"/>
      <c r="EL304" s="57"/>
      <c r="EM304" s="57"/>
      <c r="EN304" s="57"/>
      <c r="EO304" s="57"/>
      <c r="EP304" s="57"/>
      <c r="EQ304" s="57"/>
      <c r="ER304" s="57"/>
      <c r="ES304" s="57"/>
      <c r="ET304" s="57"/>
      <c r="EU304" s="57"/>
      <c r="EV304" s="57"/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/>
      <c r="FH304" s="57"/>
      <c r="FI304" s="57"/>
      <c r="FJ304" s="57"/>
      <c r="FK304" s="57"/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7"/>
      <c r="FW304" s="57"/>
      <c r="FX304" s="57"/>
      <c r="FY304" s="57"/>
      <c r="FZ304" s="57"/>
      <c r="GA304" s="57"/>
      <c r="GB304" s="57"/>
      <c r="GC304" s="57"/>
      <c r="GD304" s="57"/>
      <c r="GE304" s="57"/>
      <c r="GF304" s="57"/>
      <c r="GG304" s="57"/>
      <c r="GH304" s="57"/>
      <c r="GI304" s="57"/>
      <c r="GJ304" s="57"/>
      <c r="GK304" s="57"/>
      <c r="GL304" s="57"/>
      <c r="GM304" s="57"/>
      <c r="GN304" s="57"/>
      <c r="GO304" s="57"/>
      <c r="GP304" s="57"/>
      <c r="GQ304" s="57"/>
      <c r="GR304" s="57"/>
      <c r="GS304" s="57"/>
      <c r="GT304" s="57"/>
      <c r="GU304" s="57"/>
      <c r="GV304" s="57"/>
      <c r="GW304" s="57"/>
      <c r="GX304" s="57"/>
    </row>
    <row r="305" spans="1:206" s="88" customFormat="1" ht="19.899999999999999" customHeight="1" outlineLevel="1" x14ac:dyDescent="0.25">
      <c r="A305" s="1"/>
      <c r="B305" s="87">
        <v>3</v>
      </c>
      <c r="C305" s="84" t="s">
        <v>455</v>
      </c>
      <c r="D305" s="87" t="s">
        <v>448</v>
      </c>
      <c r="E305" s="30" t="s">
        <v>26</v>
      </c>
      <c r="F305" s="85">
        <v>10</v>
      </c>
      <c r="G305" s="85">
        <v>980</v>
      </c>
      <c r="H305" s="29" t="str">
        <f t="shared" si="23"/>
        <v>vừa</v>
      </c>
      <c r="I305" s="28">
        <v>1825.3</v>
      </c>
      <c r="J305" s="31"/>
      <c r="K305" s="31" t="s">
        <v>456</v>
      </c>
      <c r="L305" s="55"/>
      <c r="M305" s="56"/>
      <c r="N305" s="56"/>
      <c r="O305" s="56"/>
      <c r="P305" s="56"/>
      <c r="Q305" s="55">
        <f>F305*G305</f>
        <v>9800</v>
      </c>
      <c r="R305" s="56"/>
      <c r="S305" s="56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  <c r="EF305" s="57"/>
      <c r="EG305" s="57"/>
      <c r="EH305" s="57"/>
      <c r="EI305" s="57"/>
      <c r="EJ305" s="57"/>
      <c r="EK305" s="57"/>
      <c r="EL305" s="57"/>
      <c r="EM305" s="57"/>
      <c r="EN305" s="57"/>
      <c r="EO305" s="57"/>
      <c r="EP305" s="57"/>
      <c r="EQ305" s="57"/>
      <c r="ER305" s="57"/>
      <c r="ES305" s="57"/>
      <c r="ET305" s="57"/>
      <c r="EU305" s="57"/>
      <c r="EV305" s="57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57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7"/>
      <c r="GV305" s="57"/>
      <c r="GW305" s="57"/>
      <c r="GX305" s="57"/>
    </row>
    <row r="306" spans="1:206" s="82" customFormat="1" ht="19.899999999999999" customHeight="1" x14ac:dyDescent="0.25">
      <c r="A306" s="1">
        <f>IF(B306&gt;0,SUM(MAX($A$10:A304),1),0)</f>
        <v>0</v>
      </c>
      <c r="B306" s="22"/>
      <c r="C306" s="20" t="s">
        <v>457</v>
      </c>
      <c r="D306" s="22" t="str">
        <f>CONCATENATE(COUNT(B306:B310)," trạm")</f>
        <v>3 trạm</v>
      </c>
      <c r="E306" s="22"/>
      <c r="F306" s="22">
        <f>SUM(F307:F310)</f>
        <v>10</v>
      </c>
      <c r="G306" s="31"/>
      <c r="H306" s="49"/>
      <c r="I306" s="49"/>
      <c r="J306" s="49"/>
      <c r="K306" s="50"/>
      <c r="L306" s="25">
        <f>COUNTIF(H307:H310,"lớn")</f>
        <v>0</v>
      </c>
      <c r="M306" s="25">
        <f>COUNTIF(H307:H310,"vừa")</f>
        <v>3</v>
      </c>
      <c r="N306" s="25">
        <f>COUNTIF(H307:H310,"nhỏ")</f>
        <v>0</v>
      </c>
      <c r="O306" s="52"/>
      <c r="P306" s="52"/>
      <c r="Q306" s="51">
        <f>SUM(Q307:Q311)</f>
        <v>76170</v>
      </c>
      <c r="R306" s="52"/>
      <c r="S306" s="52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  <c r="CD306" s="53"/>
      <c r="CE306" s="53"/>
      <c r="CF306" s="53"/>
      <c r="CG306" s="53"/>
      <c r="CH306" s="53"/>
      <c r="CI306" s="53"/>
      <c r="CJ306" s="53"/>
      <c r="CK306" s="53"/>
      <c r="CL306" s="53"/>
      <c r="CM306" s="53"/>
      <c r="CN306" s="53"/>
      <c r="CO306" s="53"/>
      <c r="CP306" s="53"/>
      <c r="CQ306" s="53"/>
      <c r="CR306" s="53"/>
      <c r="CS306" s="53"/>
      <c r="CT306" s="53"/>
      <c r="CU306" s="53"/>
      <c r="CV306" s="53"/>
      <c r="CW306" s="53"/>
      <c r="CX306" s="53"/>
      <c r="CY306" s="53"/>
      <c r="CZ306" s="53"/>
      <c r="DA306" s="53"/>
      <c r="DB306" s="53"/>
      <c r="DC306" s="53"/>
      <c r="DD306" s="53"/>
      <c r="DE306" s="53"/>
      <c r="DF306" s="53"/>
      <c r="DG306" s="53"/>
      <c r="DH306" s="53"/>
      <c r="DI306" s="53"/>
      <c r="DJ306" s="53"/>
      <c r="DK306" s="53"/>
      <c r="DL306" s="53"/>
      <c r="DM306" s="53"/>
      <c r="DN306" s="53"/>
      <c r="DO306" s="53"/>
      <c r="DP306" s="53"/>
      <c r="DQ306" s="53"/>
      <c r="DR306" s="53"/>
      <c r="DS306" s="53"/>
      <c r="DT306" s="53"/>
      <c r="DU306" s="53"/>
      <c r="DV306" s="53"/>
      <c r="DW306" s="53"/>
      <c r="DX306" s="53"/>
      <c r="DY306" s="53"/>
      <c r="DZ306" s="53"/>
      <c r="EA306" s="53"/>
      <c r="EB306" s="53"/>
      <c r="EC306" s="53"/>
      <c r="ED306" s="53"/>
      <c r="EE306" s="53"/>
      <c r="EF306" s="53"/>
      <c r="EG306" s="53"/>
      <c r="EH306" s="53"/>
      <c r="EI306" s="53"/>
      <c r="EJ306" s="53"/>
      <c r="EK306" s="53"/>
      <c r="EL306" s="53"/>
      <c r="EM306" s="53"/>
      <c r="EN306" s="53"/>
      <c r="EO306" s="53"/>
      <c r="EP306" s="53"/>
      <c r="EQ306" s="53"/>
      <c r="ER306" s="53"/>
      <c r="ES306" s="53"/>
      <c r="ET306" s="53"/>
      <c r="EU306" s="53"/>
      <c r="EV306" s="53"/>
      <c r="EW306" s="53"/>
      <c r="EX306" s="53"/>
      <c r="EY306" s="53"/>
      <c r="EZ306" s="53"/>
      <c r="FA306" s="53"/>
      <c r="FB306" s="53"/>
      <c r="FC306" s="53"/>
      <c r="FD306" s="53"/>
      <c r="FE306" s="53"/>
      <c r="FF306" s="53"/>
      <c r="FG306" s="53"/>
      <c r="FH306" s="53"/>
      <c r="FI306" s="53"/>
      <c r="FJ306" s="53"/>
      <c r="FK306" s="53"/>
      <c r="FL306" s="53"/>
      <c r="FM306" s="53"/>
      <c r="FN306" s="53"/>
      <c r="FO306" s="53"/>
      <c r="FP306" s="53"/>
      <c r="FQ306" s="53"/>
      <c r="FR306" s="53"/>
      <c r="FS306" s="53"/>
      <c r="FT306" s="53"/>
      <c r="FU306" s="53"/>
      <c r="FV306" s="53"/>
      <c r="FW306" s="53"/>
      <c r="FX306" s="53"/>
      <c r="FY306" s="53"/>
      <c r="FZ306" s="53"/>
      <c r="GA306" s="53"/>
      <c r="GB306" s="53"/>
      <c r="GC306" s="53"/>
      <c r="GD306" s="53"/>
      <c r="GE306" s="53"/>
      <c r="GF306" s="53"/>
      <c r="GG306" s="53"/>
      <c r="GH306" s="53"/>
      <c r="GI306" s="53"/>
      <c r="GJ306" s="53"/>
      <c r="GK306" s="53"/>
      <c r="GL306" s="53"/>
      <c r="GM306" s="53"/>
      <c r="GN306" s="53"/>
      <c r="GO306" s="53"/>
      <c r="GP306" s="53"/>
      <c r="GQ306" s="53"/>
      <c r="GR306" s="53"/>
      <c r="GS306" s="53"/>
      <c r="GT306" s="53"/>
      <c r="GU306" s="53"/>
      <c r="GV306" s="53"/>
      <c r="GW306" s="53"/>
      <c r="GX306" s="53"/>
    </row>
    <row r="307" spans="1:206" s="86" customFormat="1" ht="19.899999999999999" customHeight="1" outlineLevel="1" x14ac:dyDescent="0.25">
      <c r="A307" s="1">
        <f>IF(B307&gt;0,SUM(MAX($A$10:A306),1),0)</f>
        <v>187</v>
      </c>
      <c r="B307" s="87">
        <v>1</v>
      </c>
      <c r="C307" s="84" t="s">
        <v>458</v>
      </c>
      <c r="D307" s="87" t="s">
        <v>458</v>
      </c>
      <c r="E307" s="30" t="s">
        <v>459</v>
      </c>
      <c r="F307" s="85">
        <v>3</v>
      </c>
      <c r="G307" s="28">
        <v>2500</v>
      </c>
      <c r="H307" s="29" t="str">
        <f t="shared" si="23"/>
        <v>vừa</v>
      </c>
      <c r="I307" s="29"/>
      <c r="J307" s="29"/>
      <c r="K307" s="31" t="s">
        <v>460</v>
      </c>
      <c r="L307" s="55"/>
      <c r="M307" s="56"/>
      <c r="N307" s="56"/>
      <c r="O307" s="56"/>
      <c r="P307" s="56"/>
      <c r="Q307" s="55">
        <f>F307*G307</f>
        <v>7500</v>
      </c>
      <c r="R307" s="56"/>
      <c r="S307" s="56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  <c r="BV307" s="57"/>
      <c r="BW307" s="57"/>
      <c r="BX307" s="57"/>
      <c r="BY307" s="57"/>
      <c r="BZ307" s="57"/>
      <c r="CA307" s="57"/>
      <c r="CB307" s="57"/>
      <c r="CC307" s="57"/>
      <c r="CD307" s="57"/>
      <c r="CE307" s="57"/>
      <c r="CF307" s="57"/>
      <c r="CG307" s="57"/>
      <c r="CH307" s="57"/>
      <c r="CI307" s="57"/>
      <c r="CJ307" s="57"/>
      <c r="CK307" s="57"/>
      <c r="CL307" s="57"/>
      <c r="CM307" s="57"/>
      <c r="CN307" s="57"/>
      <c r="CO307" s="57"/>
      <c r="CP307" s="57"/>
      <c r="CQ307" s="57"/>
      <c r="CR307" s="57"/>
      <c r="CS307" s="57"/>
      <c r="CT307" s="57"/>
      <c r="CU307" s="57"/>
      <c r="CV307" s="57"/>
      <c r="CW307" s="57"/>
      <c r="CX307" s="57"/>
      <c r="CY307" s="57"/>
      <c r="CZ307" s="57"/>
      <c r="DA307" s="57"/>
      <c r="DB307" s="57"/>
      <c r="DC307" s="57"/>
      <c r="DD307" s="57"/>
      <c r="DE307" s="57"/>
      <c r="DF307" s="57"/>
      <c r="DG307" s="57"/>
      <c r="DH307" s="57"/>
      <c r="DI307" s="57"/>
      <c r="DJ307" s="57"/>
      <c r="DK307" s="57"/>
      <c r="DL307" s="57"/>
      <c r="DM307" s="57"/>
      <c r="DN307" s="57"/>
      <c r="DO307" s="57"/>
      <c r="DP307" s="57"/>
      <c r="DQ307" s="57"/>
      <c r="DR307" s="57"/>
      <c r="DS307" s="57"/>
      <c r="DT307" s="57"/>
      <c r="DU307" s="57"/>
      <c r="DV307" s="57"/>
      <c r="DW307" s="57"/>
      <c r="DX307" s="57"/>
      <c r="DY307" s="57"/>
      <c r="DZ307" s="57"/>
      <c r="EA307" s="57"/>
      <c r="EB307" s="57"/>
      <c r="EC307" s="57"/>
      <c r="ED307" s="57"/>
      <c r="EE307" s="57"/>
      <c r="EF307" s="57"/>
      <c r="EG307" s="57"/>
      <c r="EH307" s="57"/>
      <c r="EI307" s="57"/>
      <c r="EJ307" s="57"/>
      <c r="EK307" s="57"/>
      <c r="EL307" s="57"/>
      <c r="EM307" s="57"/>
      <c r="EN307" s="57"/>
      <c r="EO307" s="57"/>
      <c r="EP307" s="57"/>
      <c r="EQ307" s="57"/>
      <c r="ER307" s="57"/>
      <c r="ES307" s="57"/>
      <c r="ET307" s="57"/>
      <c r="EU307" s="57"/>
      <c r="EV307" s="57"/>
      <c r="EW307" s="57"/>
      <c r="EX307" s="57"/>
      <c r="EY307" s="57"/>
      <c r="EZ307" s="57"/>
      <c r="FA307" s="57"/>
      <c r="FB307" s="57"/>
      <c r="FC307" s="57"/>
      <c r="FD307" s="57"/>
      <c r="FE307" s="57"/>
      <c r="FF307" s="57"/>
      <c r="FG307" s="57"/>
      <c r="FH307" s="57"/>
      <c r="FI307" s="57"/>
      <c r="FJ307" s="57"/>
      <c r="FK307" s="57"/>
      <c r="FL307" s="57"/>
      <c r="FM307" s="57"/>
      <c r="FN307" s="57"/>
      <c r="FO307" s="57"/>
      <c r="FP307" s="57"/>
      <c r="FQ307" s="57"/>
      <c r="FR307" s="57"/>
      <c r="FS307" s="57"/>
      <c r="FT307" s="57"/>
      <c r="FU307" s="57"/>
      <c r="FV307" s="57"/>
      <c r="FW307" s="57"/>
      <c r="FX307" s="57"/>
      <c r="FY307" s="57"/>
      <c r="FZ307" s="57"/>
      <c r="GA307" s="57"/>
      <c r="GB307" s="57"/>
      <c r="GC307" s="57"/>
      <c r="GD307" s="57"/>
      <c r="GE307" s="57"/>
      <c r="GF307" s="57"/>
      <c r="GG307" s="57"/>
      <c r="GH307" s="57"/>
      <c r="GI307" s="57"/>
      <c r="GJ307" s="57"/>
      <c r="GK307" s="57"/>
      <c r="GL307" s="57"/>
      <c r="GM307" s="57"/>
      <c r="GN307" s="57"/>
      <c r="GO307" s="57"/>
      <c r="GP307" s="57"/>
      <c r="GQ307" s="57"/>
      <c r="GR307" s="57"/>
      <c r="GS307" s="57"/>
      <c r="GT307" s="57"/>
      <c r="GU307" s="57"/>
      <c r="GV307" s="57"/>
      <c r="GW307" s="57"/>
      <c r="GX307" s="57"/>
    </row>
    <row r="308" spans="1:206" s="86" customFormat="1" ht="19.899999999999999" customHeight="1" outlineLevel="1" x14ac:dyDescent="0.25">
      <c r="A308" s="1">
        <f>IF(B308&gt;0,SUM(MAX($A$10:A307),1),0)</f>
        <v>188</v>
      </c>
      <c r="B308" s="233">
        <v>2</v>
      </c>
      <c r="C308" s="234" t="s">
        <v>461</v>
      </c>
      <c r="D308" s="233" t="s">
        <v>462</v>
      </c>
      <c r="E308" s="206" t="s">
        <v>459</v>
      </c>
      <c r="F308" s="85">
        <v>1</v>
      </c>
      <c r="G308" s="85">
        <v>980</v>
      </c>
      <c r="H308" s="208" t="str">
        <f t="shared" si="23"/>
        <v>vừa</v>
      </c>
      <c r="I308" s="212">
        <v>200</v>
      </c>
      <c r="J308" s="212">
        <v>200</v>
      </c>
      <c r="K308" s="212" t="s">
        <v>463</v>
      </c>
      <c r="L308" s="55"/>
      <c r="M308" s="56"/>
      <c r="N308" s="56"/>
      <c r="O308" s="56"/>
      <c r="P308" s="56"/>
      <c r="Q308" s="55">
        <f>F308*G308+F309*G309</f>
        <v>6830</v>
      </c>
      <c r="R308" s="56"/>
      <c r="S308" s="56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  <c r="BV308" s="57"/>
      <c r="BW308" s="57"/>
      <c r="BX308" s="57"/>
      <c r="BY308" s="57"/>
      <c r="BZ308" s="57"/>
      <c r="CA308" s="57"/>
      <c r="CB308" s="57"/>
      <c r="CC308" s="57"/>
      <c r="CD308" s="57"/>
      <c r="CE308" s="57"/>
      <c r="CF308" s="57"/>
      <c r="CG308" s="57"/>
      <c r="CH308" s="57"/>
      <c r="CI308" s="57"/>
      <c r="CJ308" s="57"/>
      <c r="CK308" s="57"/>
      <c r="CL308" s="57"/>
      <c r="CM308" s="57"/>
      <c r="CN308" s="57"/>
      <c r="CO308" s="57"/>
      <c r="CP308" s="57"/>
      <c r="CQ308" s="57"/>
      <c r="CR308" s="57"/>
      <c r="CS308" s="57"/>
      <c r="CT308" s="57"/>
      <c r="CU308" s="57"/>
      <c r="CV308" s="57"/>
      <c r="CW308" s="57"/>
      <c r="CX308" s="57"/>
      <c r="CY308" s="57"/>
      <c r="CZ308" s="57"/>
      <c r="DA308" s="57"/>
      <c r="DB308" s="57"/>
      <c r="DC308" s="57"/>
      <c r="DD308" s="57"/>
      <c r="DE308" s="57"/>
      <c r="DF308" s="57"/>
      <c r="DG308" s="57"/>
      <c r="DH308" s="57"/>
      <c r="DI308" s="57"/>
      <c r="DJ308" s="57"/>
      <c r="DK308" s="57"/>
      <c r="DL308" s="57"/>
      <c r="DM308" s="57"/>
      <c r="DN308" s="57"/>
      <c r="DO308" s="57"/>
      <c r="DP308" s="57"/>
      <c r="DQ308" s="57"/>
      <c r="DR308" s="57"/>
      <c r="DS308" s="57"/>
      <c r="DT308" s="57"/>
      <c r="DU308" s="57"/>
      <c r="DV308" s="57"/>
      <c r="DW308" s="57"/>
      <c r="DX308" s="57"/>
      <c r="DY308" s="57"/>
      <c r="DZ308" s="57"/>
      <c r="EA308" s="57"/>
      <c r="EB308" s="57"/>
      <c r="EC308" s="57"/>
      <c r="ED308" s="57"/>
      <c r="EE308" s="57"/>
      <c r="EF308" s="57"/>
      <c r="EG308" s="57"/>
      <c r="EH308" s="57"/>
      <c r="EI308" s="57"/>
      <c r="EJ308" s="57"/>
      <c r="EK308" s="57"/>
      <c r="EL308" s="57"/>
      <c r="EM308" s="57"/>
      <c r="EN308" s="57"/>
      <c r="EO308" s="57"/>
      <c r="EP308" s="57"/>
      <c r="EQ308" s="57"/>
      <c r="ER308" s="57"/>
      <c r="ES308" s="57"/>
      <c r="ET308" s="57"/>
      <c r="EU308" s="57"/>
      <c r="EV308" s="57"/>
      <c r="EW308" s="57"/>
      <c r="EX308" s="57"/>
      <c r="EY308" s="57"/>
      <c r="EZ308" s="57"/>
      <c r="FA308" s="57"/>
      <c r="FB308" s="57"/>
      <c r="FC308" s="57"/>
      <c r="FD308" s="57"/>
      <c r="FE308" s="57"/>
      <c r="FF308" s="57"/>
      <c r="FG308" s="57"/>
      <c r="FH308" s="57"/>
      <c r="FI308" s="57"/>
      <c r="FJ308" s="57"/>
      <c r="FK308" s="57"/>
      <c r="FL308" s="57"/>
      <c r="FM308" s="57"/>
      <c r="FN308" s="57"/>
      <c r="FO308" s="57"/>
      <c r="FP308" s="57"/>
      <c r="FQ308" s="57"/>
      <c r="FR308" s="57"/>
      <c r="FS308" s="57"/>
      <c r="FT308" s="57"/>
      <c r="FU308" s="57"/>
      <c r="FV308" s="57"/>
      <c r="FW308" s="57"/>
      <c r="FX308" s="57"/>
      <c r="FY308" s="57"/>
      <c r="FZ308" s="57"/>
      <c r="GA308" s="57"/>
      <c r="GB308" s="57"/>
      <c r="GC308" s="57"/>
      <c r="GD308" s="57"/>
      <c r="GE308" s="57"/>
      <c r="GF308" s="57"/>
      <c r="GG308" s="57"/>
      <c r="GH308" s="57"/>
      <c r="GI308" s="57"/>
      <c r="GJ308" s="57"/>
      <c r="GK308" s="57"/>
      <c r="GL308" s="57"/>
      <c r="GM308" s="57"/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</row>
    <row r="309" spans="1:206" s="86" customFormat="1" ht="19.899999999999999" customHeight="1" outlineLevel="1" x14ac:dyDescent="0.25">
      <c r="A309" s="1">
        <f>IF(B309&gt;0,SUM(MAX($A$10:A308),1),0)</f>
        <v>0</v>
      </c>
      <c r="B309" s="233"/>
      <c r="C309" s="234"/>
      <c r="D309" s="225"/>
      <c r="E309" s="207"/>
      <c r="F309" s="85">
        <v>3</v>
      </c>
      <c r="G309" s="85">
        <v>1950</v>
      </c>
      <c r="H309" s="209"/>
      <c r="I309" s="213"/>
      <c r="J309" s="213"/>
      <c r="K309" s="213"/>
      <c r="L309" s="55"/>
      <c r="M309" s="56"/>
      <c r="N309" s="56"/>
      <c r="O309" s="56"/>
      <c r="P309" s="56"/>
      <c r="Q309" s="55"/>
      <c r="R309" s="56"/>
      <c r="S309" s="56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  <c r="EF309" s="57"/>
      <c r="EG309" s="57"/>
      <c r="EH309" s="57"/>
      <c r="EI309" s="57"/>
      <c r="EJ309" s="57"/>
      <c r="EK309" s="57"/>
      <c r="EL309" s="57"/>
      <c r="EM309" s="57"/>
      <c r="EN309" s="57"/>
      <c r="EO309" s="57"/>
      <c r="EP309" s="57"/>
      <c r="EQ309" s="57"/>
      <c r="ER309" s="57"/>
      <c r="ES309" s="57"/>
      <c r="ET309" s="57"/>
      <c r="EU309" s="57"/>
      <c r="EV309" s="57"/>
      <c r="EW309" s="57"/>
      <c r="EX309" s="57"/>
      <c r="EY309" s="57"/>
      <c r="EZ309" s="57"/>
      <c r="FA309" s="57"/>
      <c r="FB309" s="57"/>
      <c r="FC309" s="57"/>
      <c r="FD309" s="57"/>
      <c r="FE309" s="57"/>
      <c r="FF309" s="57"/>
      <c r="FG309" s="57"/>
      <c r="FH309" s="57"/>
      <c r="FI309" s="57"/>
      <c r="FJ309" s="57"/>
      <c r="FK309" s="57"/>
      <c r="FL309" s="57"/>
      <c r="FM309" s="57"/>
      <c r="FN309" s="57"/>
      <c r="FO309" s="57"/>
      <c r="FP309" s="57"/>
      <c r="FQ309" s="57"/>
      <c r="FR309" s="57"/>
      <c r="FS309" s="57"/>
      <c r="FT309" s="57"/>
      <c r="FU309" s="57"/>
      <c r="FV309" s="57"/>
      <c r="FW309" s="57"/>
      <c r="FX309" s="57"/>
      <c r="FY309" s="57"/>
      <c r="FZ309" s="57"/>
      <c r="GA309" s="57"/>
      <c r="GB309" s="57"/>
      <c r="GC309" s="57"/>
      <c r="GD309" s="57"/>
      <c r="GE309" s="57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</row>
    <row r="310" spans="1:206" s="86" customFormat="1" ht="19.899999999999999" customHeight="1" outlineLevel="1" x14ac:dyDescent="0.25">
      <c r="A310" s="1">
        <f>IF(B310&gt;0,SUM(MAX($A$10:A309),1),0)</f>
        <v>189</v>
      </c>
      <c r="B310" s="87">
        <v>3</v>
      </c>
      <c r="C310" s="84" t="s">
        <v>464</v>
      </c>
      <c r="D310" s="87" t="s">
        <v>462</v>
      </c>
      <c r="E310" s="30" t="s">
        <v>459</v>
      </c>
      <c r="F310" s="85">
        <v>3</v>
      </c>
      <c r="G310" s="85">
        <v>1950</v>
      </c>
      <c r="H310" s="29" t="str">
        <f t="shared" si="23"/>
        <v>vừa</v>
      </c>
      <c r="I310" s="29"/>
      <c r="J310" s="28">
        <v>195</v>
      </c>
      <c r="K310" s="28" t="s">
        <v>465</v>
      </c>
      <c r="L310" s="55"/>
      <c r="M310" s="56"/>
      <c r="N310" s="56"/>
      <c r="O310" s="56"/>
      <c r="P310" s="56"/>
      <c r="Q310" s="55">
        <f>F310*G310</f>
        <v>5850</v>
      </c>
      <c r="R310" s="56"/>
      <c r="S310" s="56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7"/>
      <c r="FD310" s="57"/>
      <c r="FE310" s="57"/>
      <c r="FF310" s="57"/>
      <c r="FG310" s="57"/>
      <c r="FH310" s="57"/>
      <c r="FI310" s="57"/>
      <c r="FJ310" s="57"/>
      <c r="FK310" s="57"/>
      <c r="FL310" s="57"/>
      <c r="FM310" s="57"/>
      <c r="FN310" s="57"/>
      <c r="FO310" s="57"/>
      <c r="FP310" s="57"/>
      <c r="FQ310" s="57"/>
      <c r="FR310" s="57"/>
      <c r="FS310" s="57"/>
      <c r="FT310" s="57"/>
      <c r="FU310" s="57"/>
      <c r="FV310" s="57"/>
      <c r="FW310" s="57"/>
      <c r="FX310" s="57"/>
      <c r="FY310" s="57"/>
      <c r="FZ310" s="57"/>
      <c r="GA310" s="57"/>
      <c r="GB310" s="57"/>
      <c r="GC310" s="57"/>
      <c r="GD310" s="57"/>
      <c r="GE310" s="57"/>
      <c r="GF310" s="57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</row>
    <row r="311" spans="1:206" s="93" customFormat="1" ht="19.899999999999999" customHeight="1" x14ac:dyDescent="0.25">
      <c r="A311" s="1"/>
      <c r="B311" s="22" t="s">
        <v>466</v>
      </c>
      <c r="C311" s="20" t="s">
        <v>467</v>
      </c>
      <c r="D311" s="22" t="str">
        <f>CONCATENATE(COUNT(B311:B322)," trạm")</f>
        <v>9 trạm</v>
      </c>
      <c r="E311" s="22"/>
      <c r="F311" s="81">
        <f>+SUM(F312,F317)</f>
        <v>34</v>
      </c>
      <c r="G311" s="31"/>
      <c r="H311" s="89"/>
      <c r="I311" s="89"/>
      <c r="J311" s="89"/>
      <c r="K311" s="90"/>
      <c r="L311" s="91">
        <f>+L312+L317</f>
        <v>0</v>
      </c>
      <c r="M311" s="91">
        <f>+M312+M317</f>
        <v>6</v>
      </c>
      <c r="N311" s="91">
        <f>+N312+N317</f>
        <v>3</v>
      </c>
      <c r="O311" s="92"/>
      <c r="P311" s="92"/>
      <c r="Q311" s="91">
        <f>+Q312+Q317</f>
        <v>55990</v>
      </c>
      <c r="R311" s="92"/>
      <c r="S311" s="92"/>
    </row>
    <row r="312" spans="1:206" s="94" customFormat="1" ht="19.899999999999999" customHeight="1" x14ac:dyDescent="0.25">
      <c r="A312" s="1">
        <f>IF(B312&gt;0,SUM(MAX($A$10:A311),1),0)</f>
        <v>0</v>
      </c>
      <c r="B312" s="22"/>
      <c r="C312" s="20" t="s">
        <v>446</v>
      </c>
      <c r="D312" s="22" t="str">
        <f>CONCATENATE(COUNT(B311:B317)," trạm")</f>
        <v>4 trạm</v>
      </c>
      <c r="E312" s="22"/>
      <c r="F312" s="81">
        <f>+SUM(F313:F316)</f>
        <v>12</v>
      </c>
      <c r="G312" s="31"/>
      <c r="H312" s="89"/>
      <c r="I312" s="89"/>
      <c r="J312" s="89"/>
      <c r="K312" s="90"/>
      <c r="L312" s="25">
        <f>COUNTIF(H313:H316,"lớn")</f>
        <v>0</v>
      </c>
      <c r="M312" s="25">
        <f>COUNTIF(H313:H316,"vừa")</f>
        <v>2</v>
      </c>
      <c r="N312" s="25">
        <f>COUNTIF(H313:H316,"nhỏ")</f>
        <v>2</v>
      </c>
      <c r="O312" s="92"/>
      <c r="P312" s="92"/>
      <c r="Q312" s="51">
        <f>SUM(Q313:Q316)</f>
        <v>11500</v>
      </c>
      <c r="R312" s="92"/>
      <c r="S312" s="92"/>
    </row>
    <row r="313" spans="1:206" s="97" customFormat="1" ht="19.899999999999999" customHeight="1" outlineLevel="1" x14ac:dyDescent="0.25">
      <c r="A313" s="1">
        <f>IF(B313&gt;0,SUM(MAX($A$10:A312),1),0)</f>
        <v>190</v>
      </c>
      <c r="B313" s="30">
        <v>1</v>
      </c>
      <c r="C313" s="27" t="s">
        <v>468</v>
      </c>
      <c r="D313" s="30" t="s">
        <v>468</v>
      </c>
      <c r="E313" s="30" t="s">
        <v>26</v>
      </c>
      <c r="F313" s="43">
        <v>5</v>
      </c>
      <c r="G313" s="43">
        <v>980</v>
      </c>
      <c r="H313" s="29" t="str">
        <f t="shared" ref="H313:H322" si="24">IF(AND(Q313&lt;3600,Q313&gt;0),"nhỏ",IF(AND(Q313&gt;=3600,Q313&lt;72000),"vừa",IF(Q313&lt;&gt;0,"lớn",0)))</f>
        <v>vừa</v>
      </c>
      <c r="I313" s="28">
        <v>366.8</v>
      </c>
      <c r="J313" s="31"/>
      <c r="K313" s="28" t="s">
        <v>469</v>
      </c>
      <c r="L313" s="95"/>
      <c r="M313" s="96"/>
      <c r="N313" s="96"/>
      <c r="O313" s="96"/>
      <c r="P313" s="96"/>
      <c r="Q313" s="95">
        <f>F313*G313</f>
        <v>4900</v>
      </c>
      <c r="R313" s="96"/>
      <c r="S313" s="96"/>
    </row>
    <row r="314" spans="1:206" s="97" customFormat="1" ht="19.899999999999999" customHeight="1" outlineLevel="1" x14ac:dyDescent="0.25">
      <c r="A314" s="1">
        <f>IF(B314&gt;0,SUM(MAX($A$10:A313),1),0)</f>
        <v>191</v>
      </c>
      <c r="B314" s="30">
        <v>2</v>
      </c>
      <c r="C314" s="27" t="s">
        <v>470</v>
      </c>
      <c r="D314" s="30" t="s">
        <v>471</v>
      </c>
      <c r="E314" s="30" t="s">
        <v>26</v>
      </c>
      <c r="F314" s="43">
        <v>1</v>
      </c>
      <c r="G314" s="43">
        <v>980</v>
      </c>
      <c r="H314" s="29" t="str">
        <f t="shared" si="24"/>
        <v>nhỏ</v>
      </c>
      <c r="I314" s="28">
        <v>54</v>
      </c>
      <c r="J314" s="31"/>
      <c r="K314" s="28" t="s">
        <v>472</v>
      </c>
      <c r="L314" s="95"/>
      <c r="M314" s="96"/>
      <c r="N314" s="96"/>
      <c r="O314" s="96"/>
      <c r="P314" s="96"/>
      <c r="Q314" s="95">
        <f>F314*G314</f>
        <v>980</v>
      </c>
      <c r="R314" s="96"/>
      <c r="S314" s="96"/>
    </row>
    <row r="315" spans="1:206" s="97" customFormat="1" ht="19.899999999999999" customHeight="1" outlineLevel="1" x14ac:dyDescent="0.25">
      <c r="A315" s="1">
        <f>IF(B315&gt;0,SUM(MAX($A$10:A314),1),0)</f>
        <v>192</v>
      </c>
      <c r="B315" s="30">
        <v>3</v>
      </c>
      <c r="C315" s="27" t="s">
        <v>473</v>
      </c>
      <c r="D315" s="30" t="s">
        <v>473</v>
      </c>
      <c r="E315" s="30" t="s">
        <v>26</v>
      </c>
      <c r="F315" s="43">
        <v>5</v>
      </c>
      <c r="G315" s="43">
        <v>980</v>
      </c>
      <c r="H315" s="29" t="str">
        <f t="shared" si="24"/>
        <v>vừa</v>
      </c>
      <c r="I315" s="28">
        <v>155</v>
      </c>
      <c r="J315" s="31"/>
      <c r="K315" s="28" t="s">
        <v>474</v>
      </c>
      <c r="L315" s="95"/>
      <c r="M315" s="96"/>
      <c r="N315" s="96"/>
      <c r="O315" s="96"/>
      <c r="P315" s="96"/>
      <c r="Q315" s="95">
        <f>F315*G315</f>
        <v>4900</v>
      </c>
      <c r="R315" s="96"/>
      <c r="S315" s="96"/>
    </row>
    <row r="316" spans="1:206" s="98" customFormat="1" ht="19.899999999999999" customHeight="1" outlineLevel="1" x14ac:dyDescent="0.25">
      <c r="A316" s="1">
        <f>IF(B316&gt;0,SUM(MAX($A$10:A315),1),0)</f>
        <v>193</v>
      </c>
      <c r="B316" s="30">
        <v>4</v>
      </c>
      <c r="C316" s="27" t="s">
        <v>475</v>
      </c>
      <c r="D316" s="30" t="s">
        <v>468</v>
      </c>
      <c r="E316" s="30" t="s">
        <v>26</v>
      </c>
      <c r="F316" s="43">
        <v>1</v>
      </c>
      <c r="G316" s="43">
        <v>720</v>
      </c>
      <c r="H316" s="29" t="str">
        <f t="shared" si="24"/>
        <v>nhỏ</v>
      </c>
      <c r="I316" s="28">
        <v>49</v>
      </c>
      <c r="J316" s="31"/>
      <c r="K316" s="28" t="s">
        <v>476</v>
      </c>
      <c r="L316" s="91"/>
      <c r="M316" s="92"/>
      <c r="N316" s="92"/>
      <c r="O316" s="92"/>
      <c r="P316" s="92"/>
      <c r="Q316" s="95">
        <f>F316*G316</f>
        <v>720</v>
      </c>
      <c r="R316" s="92"/>
      <c r="S316" s="92"/>
    </row>
    <row r="317" spans="1:206" s="98" customFormat="1" ht="19.899999999999999" customHeight="1" x14ac:dyDescent="0.25">
      <c r="A317" s="1">
        <f>IF(B317&gt;0,SUM(MAX($A$10:A316),1),0)</f>
        <v>0</v>
      </c>
      <c r="B317" s="22"/>
      <c r="C317" s="20" t="s">
        <v>457</v>
      </c>
      <c r="D317" s="22" t="str">
        <f>CONCATENATE(COUNT(B317:B322)," trạm")</f>
        <v>5 trạm</v>
      </c>
      <c r="E317" s="22"/>
      <c r="F317" s="81">
        <f>+SUM(F318:F322)</f>
        <v>22</v>
      </c>
      <c r="G317" s="31"/>
      <c r="H317" s="89"/>
      <c r="I317" s="89"/>
      <c r="J317" s="89"/>
      <c r="K317" s="90"/>
      <c r="L317" s="25">
        <f>COUNTIF(H318:H322,"lớn")</f>
        <v>0</v>
      </c>
      <c r="M317" s="25">
        <f>COUNTIF(H318:H322,"vừa")</f>
        <v>4</v>
      </c>
      <c r="N317" s="25">
        <f>COUNTIF(H318:H322,"nhỏ")</f>
        <v>1</v>
      </c>
      <c r="O317" s="92"/>
      <c r="P317" s="92"/>
      <c r="Q317" s="91">
        <f>SUM(Q318:Q322)</f>
        <v>44490</v>
      </c>
      <c r="R317" s="92"/>
      <c r="S317" s="92"/>
    </row>
    <row r="318" spans="1:206" s="97" customFormat="1" ht="19.899999999999999" customHeight="1" outlineLevel="1" x14ac:dyDescent="0.25">
      <c r="A318" s="1">
        <f>IF(B318&gt;0,SUM(MAX($A$10:A317),1),0)</f>
        <v>194</v>
      </c>
      <c r="B318" s="26">
        <f>SUM(MAX($B$317:B317),1)</f>
        <v>1</v>
      </c>
      <c r="C318" s="27" t="s">
        <v>477</v>
      </c>
      <c r="D318" s="30" t="s">
        <v>478</v>
      </c>
      <c r="E318" s="30" t="s">
        <v>26</v>
      </c>
      <c r="F318" s="30">
        <v>6</v>
      </c>
      <c r="G318" s="43">
        <v>1950</v>
      </c>
      <c r="H318" s="29" t="str">
        <f t="shared" si="24"/>
        <v>vừa</v>
      </c>
      <c r="I318" s="29"/>
      <c r="J318" s="28">
        <v>460</v>
      </c>
      <c r="K318" s="28" t="s">
        <v>479</v>
      </c>
      <c r="L318" s="95"/>
      <c r="M318" s="96"/>
      <c r="N318" s="96"/>
      <c r="O318" s="96"/>
      <c r="P318" s="96"/>
      <c r="Q318" s="95">
        <f>F318*G318</f>
        <v>11700</v>
      </c>
      <c r="R318" s="96"/>
      <c r="S318" s="96"/>
    </row>
    <row r="319" spans="1:206" s="97" customFormat="1" ht="19.899999999999999" customHeight="1" outlineLevel="1" x14ac:dyDescent="0.25">
      <c r="A319" s="1">
        <f>IF(B319&gt;0,SUM(MAX($A$10:A318),1),0)</f>
        <v>195</v>
      </c>
      <c r="B319" s="26">
        <f>SUM(MAX($B$317:B318),1)</f>
        <v>2</v>
      </c>
      <c r="C319" s="27" t="s">
        <v>480</v>
      </c>
      <c r="D319" s="30" t="s">
        <v>478</v>
      </c>
      <c r="E319" s="30" t="s">
        <v>26</v>
      </c>
      <c r="F319" s="30">
        <v>4</v>
      </c>
      <c r="G319" s="43">
        <v>2400</v>
      </c>
      <c r="H319" s="29" t="str">
        <f t="shared" si="24"/>
        <v>vừa</v>
      </c>
      <c r="I319" s="29"/>
      <c r="J319" s="28">
        <v>217</v>
      </c>
      <c r="K319" s="28" t="s">
        <v>481</v>
      </c>
      <c r="L319" s="95"/>
      <c r="M319" s="96"/>
      <c r="N319" s="96"/>
      <c r="O319" s="96"/>
      <c r="P319" s="96"/>
      <c r="Q319" s="95">
        <f>F319*G319</f>
        <v>9600</v>
      </c>
      <c r="R319" s="96"/>
      <c r="S319" s="96"/>
    </row>
    <row r="320" spans="1:206" s="97" customFormat="1" ht="19.899999999999999" customHeight="1" outlineLevel="1" x14ac:dyDescent="0.25">
      <c r="A320" s="1">
        <f>IF(B320&gt;0,SUM(MAX($A$10:A319),1),0)</f>
        <v>196</v>
      </c>
      <c r="B320" s="26">
        <f>SUM(MAX($B$317:B319),1)</f>
        <v>3</v>
      </c>
      <c r="C320" s="27" t="s">
        <v>482</v>
      </c>
      <c r="D320" s="30" t="s">
        <v>483</v>
      </c>
      <c r="E320" s="30" t="s">
        <v>484</v>
      </c>
      <c r="F320" s="30">
        <v>6</v>
      </c>
      <c r="G320" s="43">
        <v>2400</v>
      </c>
      <c r="H320" s="29" t="str">
        <f t="shared" si="24"/>
        <v>vừa</v>
      </c>
      <c r="I320" s="29"/>
      <c r="J320" s="28">
        <v>425</v>
      </c>
      <c r="K320" s="28" t="s">
        <v>485</v>
      </c>
      <c r="L320" s="95"/>
      <c r="M320" s="96"/>
      <c r="N320" s="96"/>
      <c r="O320" s="96"/>
      <c r="P320" s="96"/>
      <c r="Q320" s="95">
        <f>F320*G320</f>
        <v>14400</v>
      </c>
      <c r="R320" s="96"/>
      <c r="S320" s="96"/>
    </row>
    <row r="321" spans="1:19" s="97" customFormat="1" ht="19.899999999999999" customHeight="1" outlineLevel="1" x14ac:dyDescent="0.25">
      <c r="A321" s="1">
        <f>IF(B321&gt;0,SUM(MAX($A$10:A320),1),0)</f>
        <v>197</v>
      </c>
      <c r="B321" s="26">
        <f>SUM(MAX($B$317:B320),1)</f>
        <v>4</v>
      </c>
      <c r="C321" s="27" t="s">
        <v>486</v>
      </c>
      <c r="D321" s="30" t="s">
        <v>483</v>
      </c>
      <c r="E321" s="30" t="s">
        <v>484</v>
      </c>
      <c r="F321" s="30">
        <v>3</v>
      </c>
      <c r="G321" s="43">
        <v>980</v>
      </c>
      <c r="H321" s="29" t="str">
        <f t="shared" si="24"/>
        <v>nhỏ</v>
      </c>
      <c r="I321" s="29"/>
      <c r="J321" s="28">
        <v>50</v>
      </c>
      <c r="K321" s="28" t="s">
        <v>487</v>
      </c>
      <c r="L321" s="95"/>
      <c r="M321" s="96"/>
      <c r="N321" s="96"/>
      <c r="O321" s="96"/>
      <c r="P321" s="96"/>
      <c r="Q321" s="95">
        <f>F321*G321</f>
        <v>2940</v>
      </c>
      <c r="R321" s="96"/>
      <c r="S321" s="96"/>
    </row>
    <row r="322" spans="1:19" s="94" customFormat="1" ht="19.899999999999999" customHeight="1" outlineLevel="1" x14ac:dyDescent="0.25">
      <c r="A322" s="1">
        <f>IF(B322&gt;0,SUM(MAX($A$10:A321),1),0)</f>
        <v>198</v>
      </c>
      <c r="B322" s="26">
        <f>SUM(MAX($B$317:B321),1)</f>
        <v>5</v>
      </c>
      <c r="C322" s="27" t="s">
        <v>488</v>
      </c>
      <c r="D322" s="30" t="s">
        <v>483</v>
      </c>
      <c r="E322" s="30" t="s">
        <v>484</v>
      </c>
      <c r="F322" s="30">
        <v>3</v>
      </c>
      <c r="G322" s="43">
        <v>1950</v>
      </c>
      <c r="H322" s="29" t="str">
        <f t="shared" si="24"/>
        <v>vừa</v>
      </c>
      <c r="I322" s="29"/>
      <c r="J322" s="28">
        <v>235</v>
      </c>
      <c r="K322" s="28" t="s">
        <v>489</v>
      </c>
      <c r="L322" s="91"/>
      <c r="M322" s="92"/>
      <c r="N322" s="92"/>
      <c r="O322" s="92"/>
      <c r="P322" s="92"/>
      <c r="Q322" s="95">
        <f>F322*G322</f>
        <v>5850</v>
      </c>
      <c r="R322" s="92"/>
      <c r="S322" s="92"/>
    </row>
    <row r="323" spans="1:19" s="93" customFormat="1" ht="19.899999999999999" customHeight="1" x14ac:dyDescent="0.25">
      <c r="A323" s="1"/>
      <c r="B323" s="22" t="s">
        <v>490</v>
      </c>
      <c r="C323" s="20" t="s">
        <v>491</v>
      </c>
      <c r="D323" s="22" t="str">
        <f>CONCATENATE(COUNT(B323:B325)," trạm")</f>
        <v>1 trạm</v>
      </c>
      <c r="E323" s="22"/>
      <c r="F323" s="81">
        <f>+SUM(F324)</f>
        <v>10</v>
      </c>
      <c r="G323" s="31"/>
      <c r="H323" s="89"/>
      <c r="I323" s="89"/>
      <c r="J323" s="89"/>
      <c r="K323" s="90"/>
      <c r="L323" s="91">
        <f>L325</f>
        <v>1</v>
      </c>
      <c r="M323" s="92"/>
      <c r="N323" s="92"/>
      <c r="O323" s="92"/>
      <c r="P323" s="92"/>
      <c r="Q323" s="91">
        <f>Q325</f>
        <v>432000</v>
      </c>
      <c r="R323" s="92"/>
      <c r="S323" s="92"/>
    </row>
    <row r="324" spans="1:19" s="98" customFormat="1" ht="19.899999999999999" customHeight="1" x14ac:dyDescent="0.25">
      <c r="A324" s="1">
        <f>IF(B324&gt;0,SUM(MAX($A$10:A323),1),0)</f>
        <v>0</v>
      </c>
      <c r="B324" s="22"/>
      <c r="C324" s="20" t="s">
        <v>457</v>
      </c>
      <c r="D324" s="22" t="str">
        <f>CONCATENATE(COUNT(B324:B325)," trạm")</f>
        <v>1 trạm</v>
      </c>
      <c r="E324" s="22"/>
      <c r="F324" s="81">
        <f>+SUM(F325:F325)</f>
        <v>10</v>
      </c>
      <c r="G324" s="31"/>
      <c r="H324" s="89"/>
      <c r="I324" s="89"/>
      <c r="J324" s="89"/>
      <c r="K324" s="90"/>
      <c r="L324" s="91"/>
      <c r="M324" s="92"/>
      <c r="N324" s="92"/>
      <c r="O324" s="92"/>
      <c r="P324" s="92"/>
      <c r="Q324" s="95"/>
      <c r="R324" s="92"/>
      <c r="S324" s="92"/>
    </row>
    <row r="325" spans="1:19" s="97" customFormat="1" ht="19.899999999999999" customHeight="1" outlineLevel="1" x14ac:dyDescent="0.25">
      <c r="A325" s="1">
        <f>IF(B325&gt;0,SUM(MAX($A$10:A324),1),0)</f>
        <v>199</v>
      </c>
      <c r="B325" s="26">
        <f>SUM(MAX($B$324:B324),1)</f>
        <v>1</v>
      </c>
      <c r="C325" s="27" t="s">
        <v>492</v>
      </c>
      <c r="D325" s="30"/>
      <c r="E325" s="30" t="s">
        <v>344</v>
      </c>
      <c r="F325" s="30">
        <v>10</v>
      </c>
      <c r="G325" s="31">
        <v>43200</v>
      </c>
      <c r="H325" s="29" t="str">
        <f>IF(AND(Q325&lt;3600,Q325&gt;0),"nhỏ",IF(AND(Q325&gt;=3600,Q325&lt;72000),"vừa",IF(Q325&lt;&gt;0,"lớn",0)))</f>
        <v>lớn</v>
      </c>
      <c r="I325" s="29"/>
      <c r="J325" s="31">
        <v>6300</v>
      </c>
      <c r="K325" s="31" t="s">
        <v>493</v>
      </c>
      <c r="L325" s="25">
        <f>COUNTIF(H325,"lớn")</f>
        <v>1</v>
      </c>
      <c r="M325" s="25">
        <f>COUNTIF(H326:H330,"vừa")</f>
        <v>0</v>
      </c>
      <c r="N325" s="25">
        <f>COUNTIF(H326:H330,"nhỏ")</f>
        <v>0</v>
      </c>
      <c r="O325" s="96"/>
      <c r="P325" s="96"/>
      <c r="Q325" s="95">
        <f>F325*G325</f>
        <v>432000</v>
      </c>
      <c r="R325" s="96"/>
      <c r="S325" s="96"/>
    </row>
    <row r="326" spans="1:19" s="2" customFormat="1" ht="19.899999999999999" customHeight="1" x14ac:dyDescent="0.25">
      <c r="A326" s="18"/>
      <c r="B326" s="22"/>
      <c r="C326" s="20" t="str">
        <f>"Tổng "&amp;COUNT(B10:B325)&amp;" trạm"</f>
        <v>Tổng 212 trạm</v>
      </c>
      <c r="D326" s="22"/>
      <c r="E326" s="22"/>
      <c r="F326" s="99">
        <f>+F323+F311+F299+F227+F86+F30+F10</f>
        <v>1043</v>
      </c>
      <c r="G326" s="100"/>
      <c r="H326" s="21"/>
      <c r="I326" s="21"/>
      <c r="J326" s="21"/>
      <c r="K326" s="22"/>
      <c r="L326" s="23"/>
      <c r="M326" s="24"/>
      <c r="N326" s="24"/>
      <c r="O326" s="24"/>
      <c r="P326" s="24"/>
      <c r="Q326" s="23"/>
      <c r="R326" s="24"/>
      <c r="S326" s="24"/>
    </row>
    <row r="65515" spans="17:17" x14ac:dyDescent="0.25">
      <c r="Q65515" s="101">
        <f>F65515*G65515</f>
        <v>0</v>
      </c>
    </row>
  </sheetData>
  <mergeCells count="473">
    <mergeCell ref="J308:J309"/>
    <mergeCell ref="K308:K309"/>
    <mergeCell ref="B308:B309"/>
    <mergeCell ref="C308:C309"/>
    <mergeCell ref="D308:D309"/>
    <mergeCell ref="E308:E309"/>
    <mergeCell ref="H308:H309"/>
    <mergeCell ref="I308:I309"/>
    <mergeCell ref="B301:B303"/>
    <mergeCell ref="D301:D303"/>
    <mergeCell ref="E301:E303"/>
    <mergeCell ref="H301:H303"/>
    <mergeCell ref="C302:C303"/>
    <mergeCell ref="I302:I303"/>
    <mergeCell ref="J294:J295"/>
    <mergeCell ref="B297:B298"/>
    <mergeCell ref="C297:C298"/>
    <mergeCell ref="D297:D298"/>
    <mergeCell ref="E297:E298"/>
    <mergeCell ref="H297:H298"/>
    <mergeCell ref="I297:I298"/>
    <mergeCell ref="J297:J298"/>
    <mergeCell ref="B294:B295"/>
    <mergeCell ref="C294:C295"/>
    <mergeCell ref="D294:D295"/>
    <mergeCell ref="E294:E295"/>
    <mergeCell ref="H294:H295"/>
    <mergeCell ref="I294:I295"/>
    <mergeCell ref="J285:J286"/>
    <mergeCell ref="B289:B290"/>
    <mergeCell ref="C289:C290"/>
    <mergeCell ref="D289:D290"/>
    <mergeCell ref="E289:E290"/>
    <mergeCell ref="H289:H290"/>
    <mergeCell ref="I289:I290"/>
    <mergeCell ref="J289:J290"/>
    <mergeCell ref="B285:B286"/>
    <mergeCell ref="C285:C286"/>
    <mergeCell ref="D285:D286"/>
    <mergeCell ref="E285:E286"/>
    <mergeCell ref="H285:H286"/>
    <mergeCell ref="I285:I286"/>
    <mergeCell ref="J268:J269"/>
    <mergeCell ref="K268:K269"/>
    <mergeCell ref="B279:B281"/>
    <mergeCell ref="C279:C280"/>
    <mergeCell ref="D279:D280"/>
    <mergeCell ref="E279:E280"/>
    <mergeCell ref="H279:H280"/>
    <mergeCell ref="I279:I280"/>
    <mergeCell ref="J279:J280"/>
    <mergeCell ref="B268:B269"/>
    <mergeCell ref="C268:C269"/>
    <mergeCell ref="D268:D269"/>
    <mergeCell ref="E268:E269"/>
    <mergeCell ref="H268:H269"/>
    <mergeCell ref="I268:I269"/>
    <mergeCell ref="B259:B260"/>
    <mergeCell ref="C259:C260"/>
    <mergeCell ref="D259:D260"/>
    <mergeCell ref="E259:E260"/>
    <mergeCell ref="H259:H260"/>
    <mergeCell ref="J259:J260"/>
    <mergeCell ref="J239:J240"/>
    <mergeCell ref="K239:K240"/>
    <mergeCell ref="B255:B257"/>
    <mergeCell ref="C255:C257"/>
    <mergeCell ref="D255:D257"/>
    <mergeCell ref="E255:E257"/>
    <mergeCell ref="H255:H257"/>
    <mergeCell ref="I255:I257"/>
    <mergeCell ref="J255:J257"/>
    <mergeCell ref="B239:B240"/>
    <mergeCell ref="C239:C240"/>
    <mergeCell ref="D239:D240"/>
    <mergeCell ref="E239:E240"/>
    <mergeCell ref="H239:H240"/>
    <mergeCell ref="I239:I240"/>
    <mergeCell ref="J224:J225"/>
    <mergeCell ref="B233:B234"/>
    <mergeCell ref="C233:C234"/>
    <mergeCell ref="D233:D234"/>
    <mergeCell ref="E233:E234"/>
    <mergeCell ref="H233:H234"/>
    <mergeCell ref="I233:I234"/>
    <mergeCell ref="B224:B225"/>
    <mergeCell ref="C224:C225"/>
    <mergeCell ref="D224:D225"/>
    <mergeCell ref="E224:E225"/>
    <mergeCell ref="H224:H225"/>
    <mergeCell ref="I224:I225"/>
    <mergeCell ref="J217:J218"/>
    <mergeCell ref="B220:B221"/>
    <mergeCell ref="C220:C221"/>
    <mergeCell ref="D220:D221"/>
    <mergeCell ref="E220:E221"/>
    <mergeCell ref="H220:H221"/>
    <mergeCell ref="I220:I221"/>
    <mergeCell ref="J220:J221"/>
    <mergeCell ref="B217:B218"/>
    <mergeCell ref="C217:C218"/>
    <mergeCell ref="D217:D218"/>
    <mergeCell ref="E217:E218"/>
    <mergeCell ref="H217:H218"/>
    <mergeCell ref="I217:I218"/>
    <mergeCell ref="J208:J209"/>
    <mergeCell ref="B210:B211"/>
    <mergeCell ref="C210:C211"/>
    <mergeCell ref="D210:D211"/>
    <mergeCell ref="E210:E211"/>
    <mergeCell ref="H210:H211"/>
    <mergeCell ref="I210:I211"/>
    <mergeCell ref="J210:J211"/>
    <mergeCell ref="B208:B209"/>
    <mergeCell ref="C208:C209"/>
    <mergeCell ref="D208:D209"/>
    <mergeCell ref="E208:E209"/>
    <mergeCell ref="H208:H209"/>
    <mergeCell ref="I208:I209"/>
    <mergeCell ref="J200:J201"/>
    <mergeCell ref="B205:B206"/>
    <mergeCell ref="C205:C206"/>
    <mergeCell ref="D205:D206"/>
    <mergeCell ref="E205:E206"/>
    <mergeCell ref="H205:H206"/>
    <mergeCell ref="I205:I206"/>
    <mergeCell ref="J205:J206"/>
    <mergeCell ref="B200:B201"/>
    <mergeCell ref="C200:C201"/>
    <mergeCell ref="D200:D201"/>
    <mergeCell ref="E200:E201"/>
    <mergeCell ref="H200:H201"/>
    <mergeCell ref="I200:I201"/>
    <mergeCell ref="J191:J192"/>
    <mergeCell ref="K191:K192"/>
    <mergeCell ref="B193:B194"/>
    <mergeCell ref="C193:C194"/>
    <mergeCell ref="D193:D194"/>
    <mergeCell ref="E193:E194"/>
    <mergeCell ref="H193:H194"/>
    <mergeCell ref="I193:I194"/>
    <mergeCell ref="J193:J194"/>
    <mergeCell ref="K193:K194"/>
    <mergeCell ref="B191:B192"/>
    <mergeCell ref="C191:C192"/>
    <mergeCell ref="D191:D192"/>
    <mergeCell ref="E191:E192"/>
    <mergeCell ref="H191:H192"/>
    <mergeCell ref="I191:I192"/>
    <mergeCell ref="J186:J187"/>
    <mergeCell ref="K186:K187"/>
    <mergeCell ref="B189:B190"/>
    <mergeCell ref="C189:C190"/>
    <mergeCell ref="D189:D190"/>
    <mergeCell ref="E189:E190"/>
    <mergeCell ref="H189:H190"/>
    <mergeCell ref="I189:I190"/>
    <mergeCell ref="J189:J190"/>
    <mergeCell ref="B186:B187"/>
    <mergeCell ref="C186:C187"/>
    <mergeCell ref="D186:D187"/>
    <mergeCell ref="E186:E187"/>
    <mergeCell ref="H186:H187"/>
    <mergeCell ref="I186:I187"/>
    <mergeCell ref="J174:J175"/>
    <mergeCell ref="K174:K175"/>
    <mergeCell ref="B184:B185"/>
    <mergeCell ref="C184:C185"/>
    <mergeCell ref="D184:D185"/>
    <mergeCell ref="E184:E185"/>
    <mergeCell ref="H184:H185"/>
    <mergeCell ref="B174:B175"/>
    <mergeCell ref="C174:C175"/>
    <mergeCell ref="D174:D175"/>
    <mergeCell ref="E174:E175"/>
    <mergeCell ref="H174:H175"/>
    <mergeCell ref="I174:I175"/>
    <mergeCell ref="J168:J169"/>
    <mergeCell ref="K168:K169"/>
    <mergeCell ref="B172:B173"/>
    <mergeCell ref="C172:C173"/>
    <mergeCell ref="D172:D173"/>
    <mergeCell ref="E172:E173"/>
    <mergeCell ref="H172:H173"/>
    <mergeCell ref="I172:I173"/>
    <mergeCell ref="J172:J173"/>
    <mergeCell ref="K172:K173"/>
    <mergeCell ref="B168:B169"/>
    <mergeCell ref="C168:C169"/>
    <mergeCell ref="D168:D169"/>
    <mergeCell ref="E168:E169"/>
    <mergeCell ref="H168:H169"/>
    <mergeCell ref="I168:I169"/>
    <mergeCell ref="K160:K161"/>
    <mergeCell ref="B163:B164"/>
    <mergeCell ref="D163:D164"/>
    <mergeCell ref="E163:E164"/>
    <mergeCell ref="H163:H164"/>
    <mergeCell ref="K163:K164"/>
    <mergeCell ref="H157:H159"/>
    <mergeCell ref="I157:I159"/>
    <mergeCell ref="J157:J159"/>
    <mergeCell ref="K157:K159"/>
    <mergeCell ref="B160:B161"/>
    <mergeCell ref="C160:C161"/>
    <mergeCell ref="E160:E161"/>
    <mergeCell ref="H160:H161"/>
    <mergeCell ref="I160:I161"/>
    <mergeCell ref="J160:J161"/>
    <mergeCell ref="B153:B154"/>
    <mergeCell ref="D153:D154"/>
    <mergeCell ref="E153:E154"/>
    <mergeCell ref="B155:B156"/>
    <mergeCell ref="D155:D156"/>
    <mergeCell ref="B157:B159"/>
    <mergeCell ref="C157:C158"/>
    <mergeCell ref="D157:D159"/>
    <mergeCell ref="E157:E159"/>
    <mergeCell ref="K147:K148"/>
    <mergeCell ref="B151:B152"/>
    <mergeCell ref="D151:D152"/>
    <mergeCell ref="E151:E152"/>
    <mergeCell ref="H151:H152"/>
    <mergeCell ref="K151:K152"/>
    <mergeCell ref="B147:B148"/>
    <mergeCell ref="D147:D148"/>
    <mergeCell ref="E147:E148"/>
    <mergeCell ref="H147:H148"/>
    <mergeCell ref="I147:I148"/>
    <mergeCell ref="J147:J148"/>
    <mergeCell ref="J143:J144"/>
    <mergeCell ref="K143:K144"/>
    <mergeCell ref="B145:B146"/>
    <mergeCell ref="C145:C146"/>
    <mergeCell ref="D145:D146"/>
    <mergeCell ref="E145:E146"/>
    <mergeCell ref="I145:I146"/>
    <mergeCell ref="J145:J146"/>
    <mergeCell ref="K145:K146"/>
    <mergeCell ref="B143:B144"/>
    <mergeCell ref="C143:C144"/>
    <mergeCell ref="D143:D144"/>
    <mergeCell ref="E143:E144"/>
    <mergeCell ref="H143:H144"/>
    <mergeCell ref="I143:I144"/>
    <mergeCell ref="J138:J139"/>
    <mergeCell ref="K138:K140"/>
    <mergeCell ref="B141:B142"/>
    <mergeCell ref="C141:C142"/>
    <mergeCell ref="D141:D142"/>
    <mergeCell ref="E141:E142"/>
    <mergeCell ref="H141:H142"/>
    <mergeCell ref="I141:I142"/>
    <mergeCell ref="J141:J142"/>
    <mergeCell ref="K141:K142"/>
    <mergeCell ref="B138:B139"/>
    <mergeCell ref="C138:C139"/>
    <mergeCell ref="D138:D140"/>
    <mergeCell ref="E138:E140"/>
    <mergeCell ref="H138:H140"/>
    <mergeCell ref="I138:I139"/>
    <mergeCell ref="I133:I134"/>
    <mergeCell ref="J133:J134"/>
    <mergeCell ref="K133:K135"/>
    <mergeCell ref="B136:B137"/>
    <mergeCell ref="D136:D137"/>
    <mergeCell ref="E136:E137"/>
    <mergeCell ref="H136:H137"/>
    <mergeCell ref="K127:K129"/>
    <mergeCell ref="B131:B132"/>
    <mergeCell ref="D131:D132"/>
    <mergeCell ref="H131:H132"/>
    <mergeCell ref="K131:K132"/>
    <mergeCell ref="B133:B135"/>
    <mergeCell ref="C133:C134"/>
    <mergeCell ref="D133:D135"/>
    <mergeCell ref="E133:E135"/>
    <mergeCell ref="H133:H135"/>
    <mergeCell ref="B125:B126"/>
    <mergeCell ref="C125:C126"/>
    <mergeCell ref="D125:D126"/>
    <mergeCell ref="E125:E126"/>
    <mergeCell ref="I125:I126"/>
    <mergeCell ref="J125:J126"/>
    <mergeCell ref="K125:K126"/>
    <mergeCell ref="B127:B129"/>
    <mergeCell ref="C127:C128"/>
    <mergeCell ref="D127:D128"/>
    <mergeCell ref="E127:E128"/>
    <mergeCell ref="H127:H129"/>
    <mergeCell ref="I127:I128"/>
    <mergeCell ref="J127:J128"/>
    <mergeCell ref="B113:B114"/>
    <mergeCell ref="C113:C114"/>
    <mergeCell ref="D113:D114"/>
    <mergeCell ref="E113:E114"/>
    <mergeCell ref="H113:H114"/>
    <mergeCell ref="I113:I114"/>
    <mergeCell ref="J113:J114"/>
    <mergeCell ref="K113:K114"/>
    <mergeCell ref="B119:B120"/>
    <mergeCell ref="C119:C120"/>
    <mergeCell ref="D119:D120"/>
    <mergeCell ref="E119:E120"/>
    <mergeCell ref="H119:H120"/>
    <mergeCell ref="K109:K110"/>
    <mergeCell ref="B111:B112"/>
    <mergeCell ref="C111:C112"/>
    <mergeCell ref="D111:D112"/>
    <mergeCell ref="E111:E112"/>
    <mergeCell ref="H111:H112"/>
    <mergeCell ref="I111:I112"/>
    <mergeCell ref="J111:J112"/>
    <mergeCell ref="K111:K112"/>
    <mergeCell ref="B103:B104"/>
    <mergeCell ref="C103:C104"/>
    <mergeCell ref="D103:D104"/>
    <mergeCell ref="E103:E104"/>
    <mergeCell ref="B109:B110"/>
    <mergeCell ref="C109:C110"/>
    <mergeCell ref="D109:D110"/>
    <mergeCell ref="E109:E110"/>
    <mergeCell ref="J84:J85"/>
    <mergeCell ref="H109:H110"/>
    <mergeCell ref="I109:I110"/>
    <mergeCell ref="J109:J110"/>
    <mergeCell ref="K84:K85"/>
    <mergeCell ref="B98:B99"/>
    <mergeCell ref="C98:C99"/>
    <mergeCell ref="D98:D99"/>
    <mergeCell ref="E98:E99"/>
    <mergeCell ref="I98:I99"/>
    <mergeCell ref="B84:B85"/>
    <mergeCell ref="C84:C85"/>
    <mergeCell ref="D84:D85"/>
    <mergeCell ref="E84:E85"/>
    <mergeCell ref="H84:H85"/>
    <mergeCell ref="I84:I85"/>
    <mergeCell ref="J77:J79"/>
    <mergeCell ref="K77:K79"/>
    <mergeCell ref="B81:B83"/>
    <mergeCell ref="C81:C82"/>
    <mergeCell ref="D81:D83"/>
    <mergeCell ref="E81:E83"/>
    <mergeCell ref="H81:H83"/>
    <mergeCell ref="I81:I83"/>
    <mergeCell ref="J81:J83"/>
    <mergeCell ref="K81:K83"/>
    <mergeCell ref="B77:B79"/>
    <mergeCell ref="C77:C79"/>
    <mergeCell ref="D77:D79"/>
    <mergeCell ref="E77:E79"/>
    <mergeCell ref="H77:H79"/>
    <mergeCell ref="I77:I79"/>
    <mergeCell ref="B72:B74"/>
    <mergeCell ref="C72:C73"/>
    <mergeCell ref="D72:D74"/>
    <mergeCell ref="E72:E74"/>
    <mergeCell ref="H72:H74"/>
    <mergeCell ref="I72:I74"/>
    <mergeCell ref="J72:J74"/>
    <mergeCell ref="K72:K74"/>
    <mergeCell ref="B75:B76"/>
    <mergeCell ref="C75:C76"/>
    <mergeCell ref="D75:D76"/>
    <mergeCell ref="E75:E76"/>
    <mergeCell ref="H75:H76"/>
    <mergeCell ref="I75:I76"/>
    <mergeCell ref="J75:J76"/>
    <mergeCell ref="K75:K76"/>
    <mergeCell ref="B68:B69"/>
    <mergeCell ref="D68:D69"/>
    <mergeCell ref="E68:E69"/>
    <mergeCell ref="H68:H69"/>
    <mergeCell ref="K68:K69"/>
    <mergeCell ref="B70:B71"/>
    <mergeCell ref="C70:C71"/>
    <mergeCell ref="D70:D71"/>
    <mergeCell ref="E70:E71"/>
    <mergeCell ref="H70:H71"/>
    <mergeCell ref="I70:I71"/>
    <mergeCell ref="J70:J71"/>
    <mergeCell ref="K70:K71"/>
    <mergeCell ref="K64:K65"/>
    <mergeCell ref="B66:B67"/>
    <mergeCell ref="C66:C67"/>
    <mergeCell ref="D66:D67"/>
    <mergeCell ref="E66:E67"/>
    <mergeCell ref="H66:H67"/>
    <mergeCell ref="I66:I67"/>
    <mergeCell ref="J66:J67"/>
    <mergeCell ref="K66:K67"/>
    <mergeCell ref="B64:B65"/>
    <mergeCell ref="C64:C65"/>
    <mergeCell ref="D64:D65"/>
    <mergeCell ref="E64:E65"/>
    <mergeCell ref="I64:I65"/>
    <mergeCell ref="J64:J65"/>
    <mergeCell ref="B62:B63"/>
    <mergeCell ref="D62:D63"/>
    <mergeCell ref="E62:E63"/>
    <mergeCell ref="H62:H63"/>
    <mergeCell ref="I62:I63"/>
    <mergeCell ref="J62:J63"/>
    <mergeCell ref="K62:K63"/>
    <mergeCell ref="B59:B61"/>
    <mergeCell ref="C59:C60"/>
    <mergeCell ref="D59:D61"/>
    <mergeCell ref="E59:E61"/>
    <mergeCell ref="H59:H61"/>
    <mergeCell ref="I59:I60"/>
    <mergeCell ref="B57:B58"/>
    <mergeCell ref="C57:C58"/>
    <mergeCell ref="D57:D58"/>
    <mergeCell ref="E57:E58"/>
    <mergeCell ref="H57:H58"/>
    <mergeCell ref="I57:I58"/>
    <mergeCell ref="J57:J58"/>
    <mergeCell ref="J59:J60"/>
    <mergeCell ref="K59:K61"/>
    <mergeCell ref="E50:E51"/>
    <mergeCell ref="B55:B56"/>
    <mergeCell ref="C55:C56"/>
    <mergeCell ref="D55:D56"/>
    <mergeCell ref="E55:E56"/>
    <mergeCell ref="H55:H56"/>
    <mergeCell ref="J45:J46"/>
    <mergeCell ref="K45:K46"/>
    <mergeCell ref="B48:B49"/>
    <mergeCell ref="C48:C49"/>
    <mergeCell ref="D48:D49"/>
    <mergeCell ref="E48:E49"/>
    <mergeCell ref="H48:H49"/>
    <mergeCell ref="I48:I49"/>
    <mergeCell ref="J48:J49"/>
    <mergeCell ref="K48:K49"/>
    <mergeCell ref="B45:B46"/>
    <mergeCell ref="C45:C46"/>
    <mergeCell ref="D45:D46"/>
    <mergeCell ref="E45:E46"/>
    <mergeCell ref="H45:H46"/>
    <mergeCell ref="I45:I46"/>
    <mergeCell ref="I55:I56"/>
    <mergeCell ref="J55:J56"/>
    <mergeCell ref="K22:K23"/>
    <mergeCell ref="B38:B39"/>
    <mergeCell ref="C38:C39"/>
    <mergeCell ref="D38:D39"/>
    <mergeCell ref="E38:E39"/>
    <mergeCell ref="E42:E43"/>
    <mergeCell ref="H42:H43"/>
    <mergeCell ref="B22:B24"/>
    <mergeCell ref="C22:C23"/>
    <mergeCell ref="D22:D24"/>
    <mergeCell ref="E22:E23"/>
    <mergeCell ref="H22:H24"/>
    <mergeCell ref="J22:J23"/>
    <mergeCell ref="B1:E1"/>
    <mergeCell ref="F1:K1"/>
    <mergeCell ref="B2:E2"/>
    <mergeCell ref="F2:K2"/>
    <mergeCell ref="B3:E3"/>
    <mergeCell ref="B5:K5"/>
    <mergeCell ref="B6:K6"/>
    <mergeCell ref="B8:B9"/>
    <mergeCell ref="C8:C9"/>
    <mergeCell ref="D8:D9"/>
    <mergeCell ref="E8:E9"/>
    <mergeCell ref="F8:F9"/>
    <mergeCell ref="G8:G9"/>
    <mergeCell ref="H8:H9"/>
    <mergeCell ref="I8:J8"/>
    <mergeCell ref="K8:K9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74" orientation="portrait" r:id="rId1"/>
  <rowBreaks count="4" manualBreakCount="4">
    <brk id="53" max="16383" man="1"/>
    <brk id="102" max="16383" man="1"/>
    <brk id="258" max="16383" man="1"/>
    <brk id="307" max="16383" man="1"/>
  </rowBreaks>
  <colBreaks count="1" manualBreakCount="1">
    <brk id="11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X65516"/>
  <sheetViews>
    <sheetView view="pageBreakPreview" topLeftCell="B49" zoomScale="60" zoomScaleNormal="85" workbookViewId="0">
      <selection activeCell="K298" sqref="K298"/>
    </sheetView>
  </sheetViews>
  <sheetFormatPr defaultRowHeight="16.5" x14ac:dyDescent="0.25"/>
  <cols>
    <col min="1" max="1" width="0" style="1" hidden="1" customWidth="1"/>
    <col min="2" max="2" width="5.75" style="8" customWidth="1"/>
    <col min="3" max="3" width="23.625" style="9" customWidth="1"/>
    <col min="4" max="4" width="17.5" style="8" customWidth="1"/>
    <col min="5" max="5" width="20.625" style="8" customWidth="1"/>
    <col min="6" max="6" width="7.75" style="8" customWidth="1"/>
    <col min="7" max="7" width="8.875" style="8" customWidth="1"/>
    <col min="8" max="8" width="7.875" style="10" customWidth="1"/>
    <col min="9" max="10" width="8.75" style="10" customWidth="1"/>
    <col min="11" max="11" width="17.125" style="8" customWidth="1"/>
    <col min="12" max="12" width="9" style="1" hidden="1" customWidth="1"/>
    <col min="13" max="16" width="9" style="3" hidden="1" customWidth="1"/>
    <col min="17" max="17" width="9" style="1" hidden="1" customWidth="1"/>
    <col min="18" max="19" width="9" style="3" hidden="1" customWidth="1"/>
    <col min="20" max="20" width="9" style="3" customWidth="1"/>
    <col min="21" max="21" width="9" style="1" customWidth="1"/>
    <col min="22" max="22" width="15.125" style="3" hidden="1" customWidth="1"/>
    <col min="23" max="24" width="9" style="3" hidden="1" customWidth="1"/>
    <col min="25" max="25" width="27.625" style="3" hidden="1" customWidth="1"/>
    <col min="26" max="35" width="0" style="3" hidden="1" customWidth="1"/>
    <col min="36" max="256" width="9" style="3"/>
    <col min="257" max="257" width="0" style="3" hidden="1" customWidth="1"/>
    <col min="258" max="258" width="5.75" style="3" customWidth="1"/>
    <col min="259" max="259" width="21.625" style="3" customWidth="1"/>
    <col min="260" max="260" width="17.5" style="3" customWidth="1"/>
    <col min="261" max="261" width="19.125" style="3" customWidth="1"/>
    <col min="262" max="262" width="7.75" style="3" customWidth="1"/>
    <col min="263" max="263" width="8.875" style="3" customWidth="1"/>
    <col min="264" max="264" width="7.875" style="3" customWidth="1"/>
    <col min="265" max="266" width="8.75" style="3" customWidth="1"/>
    <col min="267" max="267" width="17.125" style="3" customWidth="1"/>
    <col min="268" max="281" width="0" style="3" hidden="1" customWidth="1"/>
    <col min="282" max="512" width="9" style="3"/>
    <col min="513" max="513" width="0" style="3" hidden="1" customWidth="1"/>
    <col min="514" max="514" width="5.75" style="3" customWidth="1"/>
    <col min="515" max="515" width="21.625" style="3" customWidth="1"/>
    <col min="516" max="516" width="17.5" style="3" customWidth="1"/>
    <col min="517" max="517" width="19.125" style="3" customWidth="1"/>
    <col min="518" max="518" width="7.75" style="3" customWidth="1"/>
    <col min="519" max="519" width="8.875" style="3" customWidth="1"/>
    <col min="520" max="520" width="7.875" style="3" customWidth="1"/>
    <col min="521" max="522" width="8.75" style="3" customWidth="1"/>
    <col min="523" max="523" width="17.125" style="3" customWidth="1"/>
    <col min="524" max="537" width="0" style="3" hidden="1" customWidth="1"/>
    <col min="538" max="768" width="9" style="3"/>
    <col min="769" max="769" width="0" style="3" hidden="1" customWidth="1"/>
    <col min="770" max="770" width="5.75" style="3" customWidth="1"/>
    <col min="771" max="771" width="21.625" style="3" customWidth="1"/>
    <col min="772" max="772" width="17.5" style="3" customWidth="1"/>
    <col min="773" max="773" width="19.125" style="3" customWidth="1"/>
    <col min="774" max="774" width="7.75" style="3" customWidth="1"/>
    <col min="775" max="775" width="8.875" style="3" customWidth="1"/>
    <col min="776" max="776" width="7.875" style="3" customWidth="1"/>
    <col min="777" max="778" width="8.75" style="3" customWidth="1"/>
    <col min="779" max="779" width="17.125" style="3" customWidth="1"/>
    <col min="780" max="793" width="0" style="3" hidden="1" customWidth="1"/>
    <col min="794" max="1024" width="9" style="3"/>
    <col min="1025" max="1025" width="0" style="3" hidden="1" customWidth="1"/>
    <col min="1026" max="1026" width="5.75" style="3" customWidth="1"/>
    <col min="1027" max="1027" width="21.625" style="3" customWidth="1"/>
    <col min="1028" max="1028" width="17.5" style="3" customWidth="1"/>
    <col min="1029" max="1029" width="19.125" style="3" customWidth="1"/>
    <col min="1030" max="1030" width="7.75" style="3" customWidth="1"/>
    <col min="1031" max="1031" width="8.875" style="3" customWidth="1"/>
    <col min="1032" max="1032" width="7.875" style="3" customWidth="1"/>
    <col min="1033" max="1034" width="8.75" style="3" customWidth="1"/>
    <col min="1035" max="1035" width="17.125" style="3" customWidth="1"/>
    <col min="1036" max="1049" width="0" style="3" hidden="1" customWidth="1"/>
    <col min="1050" max="1280" width="9" style="3"/>
    <col min="1281" max="1281" width="0" style="3" hidden="1" customWidth="1"/>
    <col min="1282" max="1282" width="5.75" style="3" customWidth="1"/>
    <col min="1283" max="1283" width="21.625" style="3" customWidth="1"/>
    <col min="1284" max="1284" width="17.5" style="3" customWidth="1"/>
    <col min="1285" max="1285" width="19.125" style="3" customWidth="1"/>
    <col min="1286" max="1286" width="7.75" style="3" customWidth="1"/>
    <col min="1287" max="1287" width="8.875" style="3" customWidth="1"/>
    <col min="1288" max="1288" width="7.875" style="3" customWidth="1"/>
    <col min="1289" max="1290" width="8.75" style="3" customWidth="1"/>
    <col min="1291" max="1291" width="17.125" style="3" customWidth="1"/>
    <col min="1292" max="1305" width="0" style="3" hidden="1" customWidth="1"/>
    <col min="1306" max="1536" width="9" style="3"/>
    <col min="1537" max="1537" width="0" style="3" hidden="1" customWidth="1"/>
    <col min="1538" max="1538" width="5.75" style="3" customWidth="1"/>
    <col min="1539" max="1539" width="21.625" style="3" customWidth="1"/>
    <col min="1540" max="1540" width="17.5" style="3" customWidth="1"/>
    <col min="1541" max="1541" width="19.125" style="3" customWidth="1"/>
    <col min="1542" max="1542" width="7.75" style="3" customWidth="1"/>
    <col min="1543" max="1543" width="8.875" style="3" customWidth="1"/>
    <col min="1544" max="1544" width="7.875" style="3" customWidth="1"/>
    <col min="1545" max="1546" width="8.75" style="3" customWidth="1"/>
    <col min="1547" max="1547" width="17.125" style="3" customWidth="1"/>
    <col min="1548" max="1561" width="0" style="3" hidden="1" customWidth="1"/>
    <col min="1562" max="1792" width="9" style="3"/>
    <col min="1793" max="1793" width="0" style="3" hidden="1" customWidth="1"/>
    <col min="1794" max="1794" width="5.75" style="3" customWidth="1"/>
    <col min="1795" max="1795" width="21.625" style="3" customWidth="1"/>
    <col min="1796" max="1796" width="17.5" style="3" customWidth="1"/>
    <col min="1797" max="1797" width="19.125" style="3" customWidth="1"/>
    <col min="1798" max="1798" width="7.75" style="3" customWidth="1"/>
    <col min="1799" max="1799" width="8.875" style="3" customWidth="1"/>
    <col min="1800" max="1800" width="7.875" style="3" customWidth="1"/>
    <col min="1801" max="1802" width="8.75" style="3" customWidth="1"/>
    <col min="1803" max="1803" width="17.125" style="3" customWidth="1"/>
    <col min="1804" max="1817" width="0" style="3" hidden="1" customWidth="1"/>
    <col min="1818" max="2048" width="9" style="3"/>
    <col min="2049" max="2049" width="0" style="3" hidden="1" customWidth="1"/>
    <col min="2050" max="2050" width="5.75" style="3" customWidth="1"/>
    <col min="2051" max="2051" width="21.625" style="3" customWidth="1"/>
    <col min="2052" max="2052" width="17.5" style="3" customWidth="1"/>
    <col min="2053" max="2053" width="19.125" style="3" customWidth="1"/>
    <col min="2054" max="2054" width="7.75" style="3" customWidth="1"/>
    <col min="2055" max="2055" width="8.875" style="3" customWidth="1"/>
    <col min="2056" max="2056" width="7.875" style="3" customWidth="1"/>
    <col min="2057" max="2058" width="8.75" style="3" customWidth="1"/>
    <col min="2059" max="2059" width="17.125" style="3" customWidth="1"/>
    <col min="2060" max="2073" width="0" style="3" hidden="1" customWidth="1"/>
    <col min="2074" max="2304" width="9" style="3"/>
    <col min="2305" max="2305" width="0" style="3" hidden="1" customWidth="1"/>
    <col min="2306" max="2306" width="5.75" style="3" customWidth="1"/>
    <col min="2307" max="2307" width="21.625" style="3" customWidth="1"/>
    <col min="2308" max="2308" width="17.5" style="3" customWidth="1"/>
    <col min="2309" max="2309" width="19.125" style="3" customWidth="1"/>
    <col min="2310" max="2310" width="7.75" style="3" customWidth="1"/>
    <col min="2311" max="2311" width="8.875" style="3" customWidth="1"/>
    <col min="2312" max="2312" width="7.875" style="3" customWidth="1"/>
    <col min="2313" max="2314" width="8.75" style="3" customWidth="1"/>
    <col min="2315" max="2315" width="17.125" style="3" customWidth="1"/>
    <col min="2316" max="2329" width="0" style="3" hidden="1" customWidth="1"/>
    <col min="2330" max="2560" width="9" style="3"/>
    <col min="2561" max="2561" width="0" style="3" hidden="1" customWidth="1"/>
    <col min="2562" max="2562" width="5.75" style="3" customWidth="1"/>
    <col min="2563" max="2563" width="21.625" style="3" customWidth="1"/>
    <col min="2564" max="2564" width="17.5" style="3" customWidth="1"/>
    <col min="2565" max="2565" width="19.125" style="3" customWidth="1"/>
    <col min="2566" max="2566" width="7.75" style="3" customWidth="1"/>
    <col min="2567" max="2567" width="8.875" style="3" customWidth="1"/>
    <col min="2568" max="2568" width="7.875" style="3" customWidth="1"/>
    <col min="2569" max="2570" width="8.75" style="3" customWidth="1"/>
    <col min="2571" max="2571" width="17.125" style="3" customWidth="1"/>
    <col min="2572" max="2585" width="0" style="3" hidden="1" customWidth="1"/>
    <col min="2586" max="2816" width="9" style="3"/>
    <col min="2817" max="2817" width="0" style="3" hidden="1" customWidth="1"/>
    <col min="2818" max="2818" width="5.75" style="3" customWidth="1"/>
    <col min="2819" max="2819" width="21.625" style="3" customWidth="1"/>
    <col min="2820" max="2820" width="17.5" style="3" customWidth="1"/>
    <col min="2821" max="2821" width="19.125" style="3" customWidth="1"/>
    <col min="2822" max="2822" width="7.75" style="3" customWidth="1"/>
    <col min="2823" max="2823" width="8.875" style="3" customWidth="1"/>
    <col min="2824" max="2824" width="7.875" style="3" customWidth="1"/>
    <col min="2825" max="2826" width="8.75" style="3" customWidth="1"/>
    <col min="2827" max="2827" width="17.125" style="3" customWidth="1"/>
    <col min="2828" max="2841" width="0" style="3" hidden="1" customWidth="1"/>
    <col min="2842" max="3072" width="9" style="3"/>
    <col min="3073" max="3073" width="0" style="3" hidden="1" customWidth="1"/>
    <col min="3074" max="3074" width="5.75" style="3" customWidth="1"/>
    <col min="3075" max="3075" width="21.625" style="3" customWidth="1"/>
    <col min="3076" max="3076" width="17.5" style="3" customWidth="1"/>
    <col min="3077" max="3077" width="19.125" style="3" customWidth="1"/>
    <col min="3078" max="3078" width="7.75" style="3" customWidth="1"/>
    <col min="3079" max="3079" width="8.875" style="3" customWidth="1"/>
    <col min="3080" max="3080" width="7.875" style="3" customWidth="1"/>
    <col min="3081" max="3082" width="8.75" style="3" customWidth="1"/>
    <col min="3083" max="3083" width="17.125" style="3" customWidth="1"/>
    <col min="3084" max="3097" width="0" style="3" hidden="1" customWidth="1"/>
    <col min="3098" max="3328" width="9" style="3"/>
    <col min="3329" max="3329" width="0" style="3" hidden="1" customWidth="1"/>
    <col min="3330" max="3330" width="5.75" style="3" customWidth="1"/>
    <col min="3331" max="3331" width="21.625" style="3" customWidth="1"/>
    <col min="3332" max="3332" width="17.5" style="3" customWidth="1"/>
    <col min="3333" max="3333" width="19.125" style="3" customWidth="1"/>
    <col min="3334" max="3334" width="7.75" style="3" customWidth="1"/>
    <col min="3335" max="3335" width="8.875" style="3" customWidth="1"/>
    <col min="3336" max="3336" width="7.875" style="3" customWidth="1"/>
    <col min="3337" max="3338" width="8.75" style="3" customWidth="1"/>
    <col min="3339" max="3339" width="17.125" style="3" customWidth="1"/>
    <col min="3340" max="3353" width="0" style="3" hidden="1" customWidth="1"/>
    <col min="3354" max="3584" width="9" style="3"/>
    <col min="3585" max="3585" width="0" style="3" hidden="1" customWidth="1"/>
    <col min="3586" max="3586" width="5.75" style="3" customWidth="1"/>
    <col min="3587" max="3587" width="21.625" style="3" customWidth="1"/>
    <col min="3588" max="3588" width="17.5" style="3" customWidth="1"/>
    <col min="3589" max="3589" width="19.125" style="3" customWidth="1"/>
    <col min="3590" max="3590" width="7.75" style="3" customWidth="1"/>
    <col min="3591" max="3591" width="8.875" style="3" customWidth="1"/>
    <col min="3592" max="3592" width="7.875" style="3" customWidth="1"/>
    <col min="3593" max="3594" width="8.75" style="3" customWidth="1"/>
    <col min="3595" max="3595" width="17.125" style="3" customWidth="1"/>
    <col min="3596" max="3609" width="0" style="3" hidden="1" customWidth="1"/>
    <col min="3610" max="3840" width="9" style="3"/>
    <col min="3841" max="3841" width="0" style="3" hidden="1" customWidth="1"/>
    <col min="3842" max="3842" width="5.75" style="3" customWidth="1"/>
    <col min="3843" max="3843" width="21.625" style="3" customWidth="1"/>
    <col min="3844" max="3844" width="17.5" style="3" customWidth="1"/>
    <col min="3845" max="3845" width="19.125" style="3" customWidth="1"/>
    <col min="3846" max="3846" width="7.75" style="3" customWidth="1"/>
    <col min="3847" max="3847" width="8.875" style="3" customWidth="1"/>
    <col min="3848" max="3848" width="7.875" style="3" customWidth="1"/>
    <col min="3849" max="3850" width="8.75" style="3" customWidth="1"/>
    <col min="3851" max="3851" width="17.125" style="3" customWidth="1"/>
    <col min="3852" max="3865" width="0" style="3" hidden="1" customWidth="1"/>
    <col min="3866" max="4096" width="9" style="3"/>
    <col min="4097" max="4097" width="0" style="3" hidden="1" customWidth="1"/>
    <col min="4098" max="4098" width="5.75" style="3" customWidth="1"/>
    <col min="4099" max="4099" width="21.625" style="3" customWidth="1"/>
    <col min="4100" max="4100" width="17.5" style="3" customWidth="1"/>
    <col min="4101" max="4101" width="19.125" style="3" customWidth="1"/>
    <col min="4102" max="4102" width="7.75" style="3" customWidth="1"/>
    <col min="4103" max="4103" width="8.875" style="3" customWidth="1"/>
    <col min="4104" max="4104" width="7.875" style="3" customWidth="1"/>
    <col min="4105" max="4106" width="8.75" style="3" customWidth="1"/>
    <col min="4107" max="4107" width="17.125" style="3" customWidth="1"/>
    <col min="4108" max="4121" width="0" style="3" hidden="1" customWidth="1"/>
    <col min="4122" max="4352" width="9" style="3"/>
    <col min="4353" max="4353" width="0" style="3" hidden="1" customWidth="1"/>
    <col min="4354" max="4354" width="5.75" style="3" customWidth="1"/>
    <col min="4355" max="4355" width="21.625" style="3" customWidth="1"/>
    <col min="4356" max="4356" width="17.5" style="3" customWidth="1"/>
    <col min="4357" max="4357" width="19.125" style="3" customWidth="1"/>
    <col min="4358" max="4358" width="7.75" style="3" customWidth="1"/>
    <col min="4359" max="4359" width="8.875" style="3" customWidth="1"/>
    <col min="4360" max="4360" width="7.875" style="3" customWidth="1"/>
    <col min="4361" max="4362" width="8.75" style="3" customWidth="1"/>
    <col min="4363" max="4363" width="17.125" style="3" customWidth="1"/>
    <col min="4364" max="4377" width="0" style="3" hidden="1" customWidth="1"/>
    <col min="4378" max="4608" width="9" style="3"/>
    <col min="4609" max="4609" width="0" style="3" hidden="1" customWidth="1"/>
    <col min="4610" max="4610" width="5.75" style="3" customWidth="1"/>
    <col min="4611" max="4611" width="21.625" style="3" customWidth="1"/>
    <col min="4612" max="4612" width="17.5" style="3" customWidth="1"/>
    <col min="4613" max="4613" width="19.125" style="3" customWidth="1"/>
    <col min="4614" max="4614" width="7.75" style="3" customWidth="1"/>
    <col min="4615" max="4615" width="8.875" style="3" customWidth="1"/>
    <col min="4616" max="4616" width="7.875" style="3" customWidth="1"/>
    <col min="4617" max="4618" width="8.75" style="3" customWidth="1"/>
    <col min="4619" max="4619" width="17.125" style="3" customWidth="1"/>
    <col min="4620" max="4633" width="0" style="3" hidden="1" customWidth="1"/>
    <col min="4634" max="4864" width="9" style="3"/>
    <col min="4865" max="4865" width="0" style="3" hidden="1" customWidth="1"/>
    <col min="4866" max="4866" width="5.75" style="3" customWidth="1"/>
    <col min="4867" max="4867" width="21.625" style="3" customWidth="1"/>
    <col min="4868" max="4868" width="17.5" style="3" customWidth="1"/>
    <col min="4869" max="4869" width="19.125" style="3" customWidth="1"/>
    <col min="4870" max="4870" width="7.75" style="3" customWidth="1"/>
    <col min="4871" max="4871" width="8.875" style="3" customWidth="1"/>
    <col min="4872" max="4872" width="7.875" style="3" customWidth="1"/>
    <col min="4873" max="4874" width="8.75" style="3" customWidth="1"/>
    <col min="4875" max="4875" width="17.125" style="3" customWidth="1"/>
    <col min="4876" max="4889" width="0" style="3" hidden="1" customWidth="1"/>
    <col min="4890" max="5120" width="9" style="3"/>
    <col min="5121" max="5121" width="0" style="3" hidden="1" customWidth="1"/>
    <col min="5122" max="5122" width="5.75" style="3" customWidth="1"/>
    <col min="5123" max="5123" width="21.625" style="3" customWidth="1"/>
    <col min="5124" max="5124" width="17.5" style="3" customWidth="1"/>
    <col min="5125" max="5125" width="19.125" style="3" customWidth="1"/>
    <col min="5126" max="5126" width="7.75" style="3" customWidth="1"/>
    <col min="5127" max="5127" width="8.875" style="3" customWidth="1"/>
    <col min="5128" max="5128" width="7.875" style="3" customWidth="1"/>
    <col min="5129" max="5130" width="8.75" style="3" customWidth="1"/>
    <col min="5131" max="5131" width="17.125" style="3" customWidth="1"/>
    <col min="5132" max="5145" width="0" style="3" hidden="1" customWidth="1"/>
    <col min="5146" max="5376" width="9" style="3"/>
    <col min="5377" max="5377" width="0" style="3" hidden="1" customWidth="1"/>
    <col min="5378" max="5378" width="5.75" style="3" customWidth="1"/>
    <col min="5379" max="5379" width="21.625" style="3" customWidth="1"/>
    <col min="5380" max="5380" width="17.5" style="3" customWidth="1"/>
    <col min="5381" max="5381" width="19.125" style="3" customWidth="1"/>
    <col min="5382" max="5382" width="7.75" style="3" customWidth="1"/>
    <col min="5383" max="5383" width="8.875" style="3" customWidth="1"/>
    <col min="5384" max="5384" width="7.875" style="3" customWidth="1"/>
    <col min="5385" max="5386" width="8.75" style="3" customWidth="1"/>
    <col min="5387" max="5387" width="17.125" style="3" customWidth="1"/>
    <col min="5388" max="5401" width="0" style="3" hidden="1" customWidth="1"/>
    <col min="5402" max="5632" width="9" style="3"/>
    <col min="5633" max="5633" width="0" style="3" hidden="1" customWidth="1"/>
    <col min="5634" max="5634" width="5.75" style="3" customWidth="1"/>
    <col min="5635" max="5635" width="21.625" style="3" customWidth="1"/>
    <col min="5636" max="5636" width="17.5" style="3" customWidth="1"/>
    <col min="5637" max="5637" width="19.125" style="3" customWidth="1"/>
    <col min="5638" max="5638" width="7.75" style="3" customWidth="1"/>
    <col min="5639" max="5639" width="8.875" style="3" customWidth="1"/>
    <col min="5640" max="5640" width="7.875" style="3" customWidth="1"/>
    <col min="5641" max="5642" width="8.75" style="3" customWidth="1"/>
    <col min="5643" max="5643" width="17.125" style="3" customWidth="1"/>
    <col min="5644" max="5657" width="0" style="3" hidden="1" customWidth="1"/>
    <col min="5658" max="5888" width="9" style="3"/>
    <col min="5889" max="5889" width="0" style="3" hidden="1" customWidth="1"/>
    <col min="5890" max="5890" width="5.75" style="3" customWidth="1"/>
    <col min="5891" max="5891" width="21.625" style="3" customWidth="1"/>
    <col min="5892" max="5892" width="17.5" style="3" customWidth="1"/>
    <col min="5893" max="5893" width="19.125" style="3" customWidth="1"/>
    <col min="5894" max="5894" width="7.75" style="3" customWidth="1"/>
    <col min="5895" max="5895" width="8.875" style="3" customWidth="1"/>
    <col min="5896" max="5896" width="7.875" style="3" customWidth="1"/>
    <col min="5897" max="5898" width="8.75" style="3" customWidth="1"/>
    <col min="5899" max="5899" width="17.125" style="3" customWidth="1"/>
    <col min="5900" max="5913" width="0" style="3" hidden="1" customWidth="1"/>
    <col min="5914" max="6144" width="9" style="3"/>
    <col min="6145" max="6145" width="0" style="3" hidden="1" customWidth="1"/>
    <col min="6146" max="6146" width="5.75" style="3" customWidth="1"/>
    <col min="6147" max="6147" width="21.625" style="3" customWidth="1"/>
    <col min="6148" max="6148" width="17.5" style="3" customWidth="1"/>
    <col min="6149" max="6149" width="19.125" style="3" customWidth="1"/>
    <col min="6150" max="6150" width="7.75" style="3" customWidth="1"/>
    <col min="6151" max="6151" width="8.875" style="3" customWidth="1"/>
    <col min="6152" max="6152" width="7.875" style="3" customWidth="1"/>
    <col min="6153" max="6154" width="8.75" style="3" customWidth="1"/>
    <col min="6155" max="6155" width="17.125" style="3" customWidth="1"/>
    <col min="6156" max="6169" width="0" style="3" hidden="1" customWidth="1"/>
    <col min="6170" max="6400" width="9" style="3"/>
    <col min="6401" max="6401" width="0" style="3" hidden="1" customWidth="1"/>
    <col min="6402" max="6402" width="5.75" style="3" customWidth="1"/>
    <col min="6403" max="6403" width="21.625" style="3" customWidth="1"/>
    <col min="6404" max="6404" width="17.5" style="3" customWidth="1"/>
    <col min="6405" max="6405" width="19.125" style="3" customWidth="1"/>
    <col min="6406" max="6406" width="7.75" style="3" customWidth="1"/>
    <col min="6407" max="6407" width="8.875" style="3" customWidth="1"/>
    <col min="6408" max="6408" width="7.875" style="3" customWidth="1"/>
    <col min="6409" max="6410" width="8.75" style="3" customWidth="1"/>
    <col min="6411" max="6411" width="17.125" style="3" customWidth="1"/>
    <col min="6412" max="6425" width="0" style="3" hidden="1" customWidth="1"/>
    <col min="6426" max="6656" width="9" style="3"/>
    <col min="6657" max="6657" width="0" style="3" hidden="1" customWidth="1"/>
    <col min="6658" max="6658" width="5.75" style="3" customWidth="1"/>
    <col min="6659" max="6659" width="21.625" style="3" customWidth="1"/>
    <col min="6660" max="6660" width="17.5" style="3" customWidth="1"/>
    <col min="6661" max="6661" width="19.125" style="3" customWidth="1"/>
    <col min="6662" max="6662" width="7.75" style="3" customWidth="1"/>
    <col min="6663" max="6663" width="8.875" style="3" customWidth="1"/>
    <col min="6664" max="6664" width="7.875" style="3" customWidth="1"/>
    <col min="6665" max="6666" width="8.75" style="3" customWidth="1"/>
    <col min="6667" max="6667" width="17.125" style="3" customWidth="1"/>
    <col min="6668" max="6681" width="0" style="3" hidden="1" customWidth="1"/>
    <col min="6682" max="6912" width="9" style="3"/>
    <col min="6913" max="6913" width="0" style="3" hidden="1" customWidth="1"/>
    <col min="6914" max="6914" width="5.75" style="3" customWidth="1"/>
    <col min="6915" max="6915" width="21.625" style="3" customWidth="1"/>
    <col min="6916" max="6916" width="17.5" style="3" customWidth="1"/>
    <col min="6917" max="6917" width="19.125" style="3" customWidth="1"/>
    <col min="6918" max="6918" width="7.75" style="3" customWidth="1"/>
    <col min="6919" max="6919" width="8.875" style="3" customWidth="1"/>
    <col min="6920" max="6920" width="7.875" style="3" customWidth="1"/>
    <col min="6921" max="6922" width="8.75" style="3" customWidth="1"/>
    <col min="6923" max="6923" width="17.125" style="3" customWidth="1"/>
    <col min="6924" max="6937" width="0" style="3" hidden="1" customWidth="1"/>
    <col min="6938" max="7168" width="9" style="3"/>
    <col min="7169" max="7169" width="0" style="3" hidden="1" customWidth="1"/>
    <col min="7170" max="7170" width="5.75" style="3" customWidth="1"/>
    <col min="7171" max="7171" width="21.625" style="3" customWidth="1"/>
    <col min="7172" max="7172" width="17.5" style="3" customWidth="1"/>
    <col min="7173" max="7173" width="19.125" style="3" customWidth="1"/>
    <col min="7174" max="7174" width="7.75" style="3" customWidth="1"/>
    <col min="7175" max="7175" width="8.875" style="3" customWidth="1"/>
    <col min="7176" max="7176" width="7.875" style="3" customWidth="1"/>
    <col min="7177" max="7178" width="8.75" style="3" customWidth="1"/>
    <col min="7179" max="7179" width="17.125" style="3" customWidth="1"/>
    <col min="7180" max="7193" width="0" style="3" hidden="1" customWidth="1"/>
    <col min="7194" max="7424" width="9" style="3"/>
    <col min="7425" max="7425" width="0" style="3" hidden="1" customWidth="1"/>
    <col min="7426" max="7426" width="5.75" style="3" customWidth="1"/>
    <col min="7427" max="7427" width="21.625" style="3" customWidth="1"/>
    <col min="7428" max="7428" width="17.5" style="3" customWidth="1"/>
    <col min="7429" max="7429" width="19.125" style="3" customWidth="1"/>
    <col min="7430" max="7430" width="7.75" style="3" customWidth="1"/>
    <col min="7431" max="7431" width="8.875" style="3" customWidth="1"/>
    <col min="7432" max="7432" width="7.875" style="3" customWidth="1"/>
    <col min="7433" max="7434" width="8.75" style="3" customWidth="1"/>
    <col min="7435" max="7435" width="17.125" style="3" customWidth="1"/>
    <col min="7436" max="7449" width="0" style="3" hidden="1" customWidth="1"/>
    <col min="7450" max="7680" width="9" style="3"/>
    <col min="7681" max="7681" width="0" style="3" hidden="1" customWidth="1"/>
    <col min="7682" max="7682" width="5.75" style="3" customWidth="1"/>
    <col min="7683" max="7683" width="21.625" style="3" customWidth="1"/>
    <col min="7684" max="7684" width="17.5" style="3" customWidth="1"/>
    <col min="7685" max="7685" width="19.125" style="3" customWidth="1"/>
    <col min="7686" max="7686" width="7.75" style="3" customWidth="1"/>
    <col min="7687" max="7687" width="8.875" style="3" customWidth="1"/>
    <col min="7688" max="7688" width="7.875" style="3" customWidth="1"/>
    <col min="7689" max="7690" width="8.75" style="3" customWidth="1"/>
    <col min="7691" max="7691" width="17.125" style="3" customWidth="1"/>
    <col min="7692" max="7705" width="0" style="3" hidden="1" customWidth="1"/>
    <col min="7706" max="7936" width="9" style="3"/>
    <col min="7937" max="7937" width="0" style="3" hidden="1" customWidth="1"/>
    <col min="7938" max="7938" width="5.75" style="3" customWidth="1"/>
    <col min="7939" max="7939" width="21.625" style="3" customWidth="1"/>
    <col min="7940" max="7940" width="17.5" style="3" customWidth="1"/>
    <col min="7941" max="7941" width="19.125" style="3" customWidth="1"/>
    <col min="7942" max="7942" width="7.75" style="3" customWidth="1"/>
    <col min="7943" max="7943" width="8.875" style="3" customWidth="1"/>
    <col min="7944" max="7944" width="7.875" style="3" customWidth="1"/>
    <col min="7945" max="7946" width="8.75" style="3" customWidth="1"/>
    <col min="7947" max="7947" width="17.125" style="3" customWidth="1"/>
    <col min="7948" max="7961" width="0" style="3" hidden="1" customWidth="1"/>
    <col min="7962" max="8192" width="9" style="3"/>
    <col min="8193" max="8193" width="0" style="3" hidden="1" customWidth="1"/>
    <col min="8194" max="8194" width="5.75" style="3" customWidth="1"/>
    <col min="8195" max="8195" width="21.625" style="3" customWidth="1"/>
    <col min="8196" max="8196" width="17.5" style="3" customWidth="1"/>
    <col min="8197" max="8197" width="19.125" style="3" customWidth="1"/>
    <col min="8198" max="8198" width="7.75" style="3" customWidth="1"/>
    <col min="8199" max="8199" width="8.875" style="3" customWidth="1"/>
    <col min="8200" max="8200" width="7.875" style="3" customWidth="1"/>
    <col min="8201" max="8202" width="8.75" style="3" customWidth="1"/>
    <col min="8203" max="8203" width="17.125" style="3" customWidth="1"/>
    <col min="8204" max="8217" width="0" style="3" hidden="1" customWidth="1"/>
    <col min="8218" max="8448" width="9" style="3"/>
    <col min="8449" max="8449" width="0" style="3" hidden="1" customWidth="1"/>
    <col min="8450" max="8450" width="5.75" style="3" customWidth="1"/>
    <col min="8451" max="8451" width="21.625" style="3" customWidth="1"/>
    <col min="8452" max="8452" width="17.5" style="3" customWidth="1"/>
    <col min="8453" max="8453" width="19.125" style="3" customWidth="1"/>
    <col min="8454" max="8454" width="7.75" style="3" customWidth="1"/>
    <col min="8455" max="8455" width="8.875" style="3" customWidth="1"/>
    <col min="8456" max="8456" width="7.875" style="3" customWidth="1"/>
    <col min="8457" max="8458" width="8.75" style="3" customWidth="1"/>
    <col min="8459" max="8459" width="17.125" style="3" customWidth="1"/>
    <col min="8460" max="8473" width="0" style="3" hidden="1" customWidth="1"/>
    <col min="8474" max="8704" width="9" style="3"/>
    <col min="8705" max="8705" width="0" style="3" hidden="1" customWidth="1"/>
    <col min="8706" max="8706" width="5.75" style="3" customWidth="1"/>
    <col min="8707" max="8707" width="21.625" style="3" customWidth="1"/>
    <col min="8708" max="8708" width="17.5" style="3" customWidth="1"/>
    <col min="8709" max="8709" width="19.125" style="3" customWidth="1"/>
    <col min="8710" max="8710" width="7.75" style="3" customWidth="1"/>
    <col min="8711" max="8711" width="8.875" style="3" customWidth="1"/>
    <col min="8712" max="8712" width="7.875" style="3" customWidth="1"/>
    <col min="8713" max="8714" width="8.75" style="3" customWidth="1"/>
    <col min="8715" max="8715" width="17.125" style="3" customWidth="1"/>
    <col min="8716" max="8729" width="0" style="3" hidden="1" customWidth="1"/>
    <col min="8730" max="8960" width="9" style="3"/>
    <col min="8961" max="8961" width="0" style="3" hidden="1" customWidth="1"/>
    <col min="8962" max="8962" width="5.75" style="3" customWidth="1"/>
    <col min="8963" max="8963" width="21.625" style="3" customWidth="1"/>
    <col min="8964" max="8964" width="17.5" style="3" customWidth="1"/>
    <col min="8965" max="8965" width="19.125" style="3" customWidth="1"/>
    <col min="8966" max="8966" width="7.75" style="3" customWidth="1"/>
    <col min="8967" max="8967" width="8.875" style="3" customWidth="1"/>
    <col min="8968" max="8968" width="7.875" style="3" customWidth="1"/>
    <col min="8969" max="8970" width="8.75" style="3" customWidth="1"/>
    <col min="8971" max="8971" width="17.125" style="3" customWidth="1"/>
    <col min="8972" max="8985" width="0" style="3" hidden="1" customWidth="1"/>
    <col min="8986" max="9216" width="9" style="3"/>
    <col min="9217" max="9217" width="0" style="3" hidden="1" customWidth="1"/>
    <col min="9218" max="9218" width="5.75" style="3" customWidth="1"/>
    <col min="9219" max="9219" width="21.625" style="3" customWidth="1"/>
    <col min="9220" max="9220" width="17.5" style="3" customWidth="1"/>
    <col min="9221" max="9221" width="19.125" style="3" customWidth="1"/>
    <col min="9222" max="9222" width="7.75" style="3" customWidth="1"/>
    <col min="9223" max="9223" width="8.875" style="3" customWidth="1"/>
    <col min="9224" max="9224" width="7.875" style="3" customWidth="1"/>
    <col min="9225" max="9226" width="8.75" style="3" customWidth="1"/>
    <col min="9227" max="9227" width="17.125" style="3" customWidth="1"/>
    <col min="9228" max="9241" width="0" style="3" hidden="1" customWidth="1"/>
    <col min="9242" max="9472" width="9" style="3"/>
    <col min="9473" max="9473" width="0" style="3" hidden="1" customWidth="1"/>
    <col min="9474" max="9474" width="5.75" style="3" customWidth="1"/>
    <col min="9475" max="9475" width="21.625" style="3" customWidth="1"/>
    <col min="9476" max="9476" width="17.5" style="3" customWidth="1"/>
    <col min="9477" max="9477" width="19.125" style="3" customWidth="1"/>
    <col min="9478" max="9478" width="7.75" style="3" customWidth="1"/>
    <col min="9479" max="9479" width="8.875" style="3" customWidth="1"/>
    <col min="9480" max="9480" width="7.875" style="3" customWidth="1"/>
    <col min="9481" max="9482" width="8.75" style="3" customWidth="1"/>
    <col min="9483" max="9483" width="17.125" style="3" customWidth="1"/>
    <col min="9484" max="9497" width="0" style="3" hidden="1" customWidth="1"/>
    <col min="9498" max="9728" width="9" style="3"/>
    <col min="9729" max="9729" width="0" style="3" hidden="1" customWidth="1"/>
    <col min="9730" max="9730" width="5.75" style="3" customWidth="1"/>
    <col min="9731" max="9731" width="21.625" style="3" customWidth="1"/>
    <col min="9732" max="9732" width="17.5" style="3" customWidth="1"/>
    <col min="9733" max="9733" width="19.125" style="3" customWidth="1"/>
    <col min="9734" max="9734" width="7.75" style="3" customWidth="1"/>
    <col min="9735" max="9735" width="8.875" style="3" customWidth="1"/>
    <col min="9736" max="9736" width="7.875" style="3" customWidth="1"/>
    <col min="9737" max="9738" width="8.75" style="3" customWidth="1"/>
    <col min="9739" max="9739" width="17.125" style="3" customWidth="1"/>
    <col min="9740" max="9753" width="0" style="3" hidden="1" customWidth="1"/>
    <col min="9754" max="9984" width="9" style="3"/>
    <col min="9985" max="9985" width="0" style="3" hidden="1" customWidth="1"/>
    <col min="9986" max="9986" width="5.75" style="3" customWidth="1"/>
    <col min="9987" max="9987" width="21.625" style="3" customWidth="1"/>
    <col min="9988" max="9988" width="17.5" style="3" customWidth="1"/>
    <col min="9989" max="9989" width="19.125" style="3" customWidth="1"/>
    <col min="9990" max="9990" width="7.75" style="3" customWidth="1"/>
    <col min="9991" max="9991" width="8.875" style="3" customWidth="1"/>
    <col min="9992" max="9992" width="7.875" style="3" customWidth="1"/>
    <col min="9993" max="9994" width="8.75" style="3" customWidth="1"/>
    <col min="9995" max="9995" width="17.125" style="3" customWidth="1"/>
    <col min="9996" max="10009" width="0" style="3" hidden="1" customWidth="1"/>
    <col min="10010" max="10240" width="9" style="3"/>
    <col min="10241" max="10241" width="0" style="3" hidden="1" customWidth="1"/>
    <col min="10242" max="10242" width="5.75" style="3" customWidth="1"/>
    <col min="10243" max="10243" width="21.625" style="3" customWidth="1"/>
    <col min="10244" max="10244" width="17.5" style="3" customWidth="1"/>
    <col min="10245" max="10245" width="19.125" style="3" customWidth="1"/>
    <col min="10246" max="10246" width="7.75" style="3" customWidth="1"/>
    <col min="10247" max="10247" width="8.875" style="3" customWidth="1"/>
    <col min="10248" max="10248" width="7.875" style="3" customWidth="1"/>
    <col min="10249" max="10250" width="8.75" style="3" customWidth="1"/>
    <col min="10251" max="10251" width="17.125" style="3" customWidth="1"/>
    <col min="10252" max="10265" width="0" style="3" hidden="1" customWidth="1"/>
    <col min="10266" max="10496" width="9" style="3"/>
    <col min="10497" max="10497" width="0" style="3" hidden="1" customWidth="1"/>
    <col min="10498" max="10498" width="5.75" style="3" customWidth="1"/>
    <col min="10499" max="10499" width="21.625" style="3" customWidth="1"/>
    <col min="10500" max="10500" width="17.5" style="3" customWidth="1"/>
    <col min="10501" max="10501" width="19.125" style="3" customWidth="1"/>
    <col min="10502" max="10502" width="7.75" style="3" customWidth="1"/>
    <col min="10503" max="10503" width="8.875" style="3" customWidth="1"/>
    <col min="10504" max="10504" width="7.875" style="3" customWidth="1"/>
    <col min="10505" max="10506" width="8.75" style="3" customWidth="1"/>
    <col min="10507" max="10507" width="17.125" style="3" customWidth="1"/>
    <col min="10508" max="10521" width="0" style="3" hidden="1" customWidth="1"/>
    <col min="10522" max="10752" width="9" style="3"/>
    <col min="10753" max="10753" width="0" style="3" hidden="1" customWidth="1"/>
    <col min="10754" max="10754" width="5.75" style="3" customWidth="1"/>
    <col min="10755" max="10755" width="21.625" style="3" customWidth="1"/>
    <col min="10756" max="10756" width="17.5" style="3" customWidth="1"/>
    <col min="10757" max="10757" width="19.125" style="3" customWidth="1"/>
    <col min="10758" max="10758" width="7.75" style="3" customWidth="1"/>
    <col min="10759" max="10759" width="8.875" style="3" customWidth="1"/>
    <col min="10760" max="10760" width="7.875" style="3" customWidth="1"/>
    <col min="10761" max="10762" width="8.75" style="3" customWidth="1"/>
    <col min="10763" max="10763" width="17.125" style="3" customWidth="1"/>
    <col min="10764" max="10777" width="0" style="3" hidden="1" customWidth="1"/>
    <col min="10778" max="11008" width="9" style="3"/>
    <col min="11009" max="11009" width="0" style="3" hidden="1" customWidth="1"/>
    <col min="11010" max="11010" width="5.75" style="3" customWidth="1"/>
    <col min="11011" max="11011" width="21.625" style="3" customWidth="1"/>
    <col min="11012" max="11012" width="17.5" style="3" customWidth="1"/>
    <col min="11013" max="11013" width="19.125" style="3" customWidth="1"/>
    <col min="11014" max="11014" width="7.75" style="3" customWidth="1"/>
    <col min="11015" max="11015" width="8.875" style="3" customWidth="1"/>
    <col min="11016" max="11016" width="7.875" style="3" customWidth="1"/>
    <col min="11017" max="11018" width="8.75" style="3" customWidth="1"/>
    <col min="11019" max="11019" width="17.125" style="3" customWidth="1"/>
    <col min="11020" max="11033" width="0" style="3" hidden="1" customWidth="1"/>
    <col min="11034" max="11264" width="9" style="3"/>
    <col min="11265" max="11265" width="0" style="3" hidden="1" customWidth="1"/>
    <col min="11266" max="11266" width="5.75" style="3" customWidth="1"/>
    <col min="11267" max="11267" width="21.625" style="3" customWidth="1"/>
    <col min="11268" max="11268" width="17.5" style="3" customWidth="1"/>
    <col min="11269" max="11269" width="19.125" style="3" customWidth="1"/>
    <col min="11270" max="11270" width="7.75" style="3" customWidth="1"/>
    <col min="11271" max="11271" width="8.875" style="3" customWidth="1"/>
    <col min="11272" max="11272" width="7.875" style="3" customWidth="1"/>
    <col min="11273" max="11274" width="8.75" style="3" customWidth="1"/>
    <col min="11275" max="11275" width="17.125" style="3" customWidth="1"/>
    <col min="11276" max="11289" width="0" style="3" hidden="1" customWidth="1"/>
    <col min="11290" max="11520" width="9" style="3"/>
    <col min="11521" max="11521" width="0" style="3" hidden="1" customWidth="1"/>
    <col min="11522" max="11522" width="5.75" style="3" customWidth="1"/>
    <col min="11523" max="11523" width="21.625" style="3" customWidth="1"/>
    <col min="11524" max="11524" width="17.5" style="3" customWidth="1"/>
    <col min="11525" max="11525" width="19.125" style="3" customWidth="1"/>
    <col min="11526" max="11526" width="7.75" style="3" customWidth="1"/>
    <col min="11527" max="11527" width="8.875" style="3" customWidth="1"/>
    <col min="11528" max="11528" width="7.875" style="3" customWidth="1"/>
    <col min="11529" max="11530" width="8.75" style="3" customWidth="1"/>
    <col min="11531" max="11531" width="17.125" style="3" customWidth="1"/>
    <col min="11532" max="11545" width="0" style="3" hidden="1" customWidth="1"/>
    <col min="11546" max="11776" width="9" style="3"/>
    <col min="11777" max="11777" width="0" style="3" hidden="1" customWidth="1"/>
    <col min="11778" max="11778" width="5.75" style="3" customWidth="1"/>
    <col min="11779" max="11779" width="21.625" style="3" customWidth="1"/>
    <col min="11780" max="11780" width="17.5" style="3" customWidth="1"/>
    <col min="11781" max="11781" width="19.125" style="3" customWidth="1"/>
    <col min="11782" max="11782" width="7.75" style="3" customWidth="1"/>
    <col min="11783" max="11783" width="8.875" style="3" customWidth="1"/>
    <col min="11784" max="11784" width="7.875" style="3" customWidth="1"/>
    <col min="11785" max="11786" width="8.75" style="3" customWidth="1"/>
    <col min="11787" max="11787" width="17.125" style="3" customWidth="1"/>
    <col min="11788" max="11801" width="0" style="3" hidden="1" customWidth="1"/>
    <col min="11802" max="12032" width="9" style="3"/>
    <col min="12033" max="12033" width="0" style="3" hidden="1" customWidth="1"/>
    <col min="12034" max="12034" width="5.75" style="3" customWidth="1"/>
    <col min="12035" max="12035" width="21.625" style="3" customWidth="1"/>
    <col min="12036" max="12036" width="17.5" style="3" customWidth="1"/>
    <col min="12037" max="12037" width="19.125" style="3" customWidth="1"/>
    <col min="12038" max="12038" width="7.75" style="3" customWidth="1"/>
    <col min="12039" max="12039" width="8.875" style="3" customWidth="1"/>
    <col min="12040" max="12040" width="7.875" style="3" customWidth="1"/>
    <col min="12041" max="12042" width="8.75" style="3" customWidth="1"/>
    <col min="12043" max="12043" width="17.125" style="3" customWidth="1"/>
    <col min="12044" max="12057" width="0" style="3" hidden="1" customWidth="1"/>
    <col min="12058" max="12288" width="9" style="3"/>
    <col min="12289" max="12289" width="0" style="3" hidden="1" customWidth="1"/>
    <col min="12290" max="12290" width="5.75" style="3" customWidth="1"/>
    <col min="12291" max="12291" width="21.625" style="3" customWidth="1"/>
    <col min="12292" max="12292" width="17.5" style="3" customWidth="1"/>
    <col min="12293" max="12293" width="19.125" style="3" customWidth="1"/>
    <col min="12294" max="12294" width="7.75" style="3" customWidth="1"/>
    <col min="12295" max="12295" width="8.875" style="3" customWidth="1"/>
    <col min="12296" max="12296" width="7.875" style="3" customWidth="1"/>
    <col min="12297" max="12298" width="8.75" style="3" customWidth="1"/>
    <col min="12299" max="12299" width="17.125" style="3" customWidth="1"/>
    <col min="12300" max="12313" width="0" style="3" hidden="1" customWidth="1"/>
    <col min="12314" max="12544" width="9" style="3"/>
    <col min="12545" max="12545" width="0" style="3" hidden="1" customWidth="1"/>
    <col min="12546" max="12546" width="5.75" style="3" customWidth="1"/>
    <col min="12547" max="12547" width="21.625" style="3" customWidth="1"/>
    <col min="12548" max="12548" width="17.5" style="3" customWidth="1"/>
    <col min="12549" max="12549" width="19.125" style="3" customWidth="1"/>
    <col min="12550" max="12550" width="7.75" style="3" customWidth="1"/>
    <col min="12551" max="12551" width="8.875" style="3" customWidth="1"/>
    <col min="12552" max="12552" width="7.875" style="3" customWidth="1"/>
    <col min="12553" max="12554" width="8.75" style="3" customWidth="1"/>
    <col min="12555" max="12555" width="17.125" style="3" customWidth="1"/>
    <col min="12556" max="12569" width="0" style="3" hidden="1" customWidth="1"/>
    <col min="12570" max="12800" width="9" style="3"/>
    <col min="12801" max="12801" width="0" style="3" hidden="1" customWidth="1"/>
    <col min="12802" max="12802" width="5.75" style="3" customWidth="1"/>
    <col min="12803" max="12803" width="21.625" style="3" customWidth="1"/>
    <col min="12804" max="12804" width="17.5" style="3" customWidth="1"/>
    <col min="12805" max="12805" width="19.125" style="3" customWidth="1"/>
    <col min="12806" max="12806" width="7.75" style="3" customWidth="1"/>
    <col min="12807" max="12807" width="8.875" style="3" customWidth="1"/>
    <col min="12808" max="12808" width="7.875" style="3" customWidth="1"/>
    <col min="12809" max="12810" width="8.75" style="3" customWidth="1"/>
    <col min="12811" max="12811" width="17.125" style="3" customWidth="1"/>
    <col min="12812" max="12825" width="0" style="3" hidden="1" customWidth="1"/>
    <col min="12826" max="13056" width="9" style="3"/>
    <col min="13057" max="13057" width="0" style="3" hidden="1" customWidth="1"/>
    <col min="13058" max="13058" width="5.75" style="3" customWidth="1"/>
    <col min="13059" max="13059" width="21.625" style="3" customWidth="1"/>
    <col min="13060" max="13060" width="17.5" style="3" customWidth="1"/>
    <col min="13061" max="13061" width="19.125" style="3" customWidth="1"/>
    <col min="13062" max="13062" width="7.75" style="3" customWidth="1"/>
    <col min="13063" max="13063" width="8.875" style="3" customWidth="1"/>
    <col min="13064" max="13064" width="7.875" style="3" customWidth="1"/>
    <col min="13065" max="13066" width="8.75" style="3" customWidth="1"/>
    <col min="13067" max="13067" width="17.125" style="3" customWidth="1"/>
    <col min="13068" max="13081" width="0" style="3" hidden="1" customWidth="1"/>
    <col min="13082" max="13312" width="9" style="3"/>
    <col min="13313" max="13313" width="0" style="3" hidden="1" customWidth="1"/>
    <col min="13314" max="13314" width="5.75" style="3" customWidth="1"/>
    <col min="13315" max="13315" width="21.625" style="3" customWidth="1"/>
    <col min="13316" max="13316" width="17.5" style="3" customWidth="1"/>
    <col min="13317" max="13317" width="19.125" style="3" customWidth="1"/>
    <col min="13318" max="13318" width="7.75" style="3" customWidth="1"/>
    <col min="13319" max="13319" width="8.875" style="3" customWidth="1"/>
    <col min="13320" max="13320" width="7.875" style="3" customWidth="1"/>
    <col min="13321" max="13322" width="8.75" style="3" customWidth="1"/>
    <col min="13323" max="13323" width="17.125" style="3" customWidth="1"/>
    <col min="13324" max="13337" width="0" style="3" hidden="1" customWidth="1"/>
    <col min="13338" max="13568" width="9" style="3"/>
    <col min="13569" max="13569" width="0" style="3" hidden="1" customWidth="1"/>
    <col min="13570" max="13570" width="5.75" style="3" customWidth="1"/>
    <col min="13571" max="13571" width="21.625" style="3" customWidth="1"/>
    <col min="13572" max="13572" width="17.5" style="3" customWidth="1"/>
    <col min="13573" max="13573" width="19.125" style="3" customWidth="1"/>
    <col min="13574" max="13574" width="7.75" style="3" customWidth="1"/>
    <col min="13575" max="13575" width="8.875" style="3" customWidth="1"/>
    <col min="13576" max="13576" width="7.875" style="3" customWidth="1"/>
    <col min="13577" max="13578" width="8.75" style="3" customWidth="1"/>
    <col min="13579" max="13579" width="17.125" style="3" customWidth="1"/>
    <col min="13580" max="13593" width="0" style="3" hidden="1" customWidth="1"/>
    <col min="13594" max="13824" width="9" style="3"/>
    <col min="13825" max="13825" width="0" style="3" hidden="1" customWidth="1"/>
    <col min="13826" max="13826" width="5.75" style="3" customWidth="1"/>
    <col min="13827" max="13827" width="21.625" style="3" customWidth="1"/>
    <col min="13828" max="13828" width="17.5" style="3" customWidth="1"/>
    <col min="13829" max="13829" width="19.125" style="3" customWidth="1"/>
    <col min="13830" max="13830" width="7.75" style="3" customWidth="1"/>
    <col min="13831" max="13831" width="8.875" style="3" customWidth="1"/>
    <col min="13832" max="13832" width="7.875" style="3" customWidth="1"/>
    <col min="13833" max="13834" width="8.75" style="3" customWidth="1"/>
    <col min="13835" max="13835" width="17.125" style="3" customWidth="1"/>
    <col min="13836" max="13849" width="0" style="3" hidden="1" customWidth="1"/>
    <col min="13850" max="14080" width="9" style="3"/>
    <col min="14081" max="14081" width="0" style="3" hidden="1" customWidth="1"/>
    <col min="14082" max="14082" width="5.75" style="3" customWidth="1"/>
    <col min="14083" max="14083" width="21.625" style="3" customWidth="1"/>
    <col min="14084" max="14084" width="17.5" style="3" customWidth="1"/>
    <col min="14085" max="14085" width="19.125" style="3" customWidth="1"/>
    <col min="14086" max="14086" width="7.75" style="3" customWidth="1"/>
    <col min="14087" max="14087" width="8.875" style="3" customWidth="1"/>
    <col min="14088" max="14088" width="7.875" style="3" customWidth="1"/>
    <col min="14089" max="14090" width="8.75" style="3" customWidth="1"/>
    <col min="14091" max="14091" width="17.125" style="3" customWidth="1"/>
    <col min="14092" max="14105" width="0" style="3" hidden="1" customWidth="1"/>
    <col min="14106" max="14336" width="9" style="3"/>
    <col min="14337" max="14337" width="0" style="3" hidden="1" customWidth="1"/>
    <col min="14338" max="14338" width="5.75" style="3" customWidth="1"/>
    <col min="14339" max="14339" width="21.625" style="3" customWidth="1"/>
    <col min="14340" max="14340" width="17.5" style="3" customWidth="1"/>
    <col min="14341" max="14341" width="19.125" style="3" customWidth="1"/>
    <col min="14342" max="14342" width="7.75" style="3" customWidth="1"/>
    <col min="14343" max="14343" width="8.875" style="3" customWidth="1"/>
    <col min="14344" max="14344" width="7.875" style="3" customWidth="1"/>
    <col min="14345" max="14346" width="8.75" style="3" customWidth="1"/>
    <col min="14347" max="14347" width="17.125" style="3" customWidth="1"/>
    <col min="14348" max="14361" width="0" style="3" hidden="1" customWidth="1"/>
    <col min="14362" max="14592" width="9" style="3"/>
    <col min="14593" max="14593" width="0" style="3" hidden="1" customWidth="1"/>
    <col min="14594" max="14594" width="5.75" style="3" customWidth="1"/>
    <col min="14595" max="14595" width="21.625" style="3" customWidth="1"/>
    <col min="14596" max="14596" width="17.5" style="3" customWidth="1"/>
    <col min="14597" max="14597" width="19.125" style="3" customWidth="1"/>
    <col min="14598" max="14598" width="7.75" style="3" customWidth="1"/>
    <col min="14599" max="14599" width="8.875" style="3" customWidth="1"/>
    <col min="14600" max="14600" width="7.875" style="3" customWidth="1"/>
    <col min="14601" max="14602" width="8.75" style="3" customWidth="1"/>
    <col min="14603" max="14603" width="17.125" style="3" customWidth="1"/>
    <col min="14604" max="14617" width="0" style="3" hidden="1" customWidth="1"/>
    <col min="14618" max="14848" width="9" style="3"/>
    <col min="14849" max="14849" width="0" style="3" hidden="1" customWidth="1"/>
    <col min="14850" max="14850" width="5.75" style="3" customWidth="1"/>
    <col min="14851" max="14851" width="21.625" style="3" customWidth="1"/>
    <col min="14852" max="14852" width="17.5" style="3" customWidth="1"/>
    <col min="14853" max="14853" width="19.125" style="3" customWidth="1"/>
    <col min="14854" max="14854" width="7.75" style="3" customWidth="1"/>
    <col min="14855" max="14855" width="8.875" style="3" customWidth="1"/>
    <col min="14856" max="14856" width="7.875" style="3" customWidth="1"/>
    <col min="14857" max="14858" width="8.75" style="3" customWidth="1"/>
    <col min="14859" max="14859" width="17.125" style="3" customWidth="1"/>
    <col min="14860" max="14873" width="0" style="3" hidden="1" customWidth="1"/>
    <col min="14874" max="15104" width="9" style="3"/>
    <col min="15105" max="15105" width="0" style="3" hidden="1" customWidth="1"/>
    <col min="15106" max="15106" width="5.75" style="3" customWidth="1"/>
    <col min="15107" max="15107" width="21.625" style="3" customWidth="1"/>
    <col min="15108" max="15108" width="17.5" style="3" customWidth="1"/>
    <col min="15109" max="15109" width="19.125" style="3" customWidth="1"/>
    <col min="15110" max="15110" width="7.75" style="3" customWidth="1"/>
    <col min="15111" max="15111" width="8.875" style="3" customWidth="1"/>
    <col min="15112" max="15112" width="7.875" style="3" customWidth="1"/>
    <col min="15113" max="15114" width="8.75" style="3" customWidth="1"/>
    <col min="15115" max="15115" width="17.125" style="3" customWidth="1"/>
    <col min="15116" max="15129" width="0" style="3" hidden="1" customWidth="1"/>
    <col min="15130" max="15360" width="9" style="3"/>
    <col min="15361" max="15361" width="0" style="3" hidden="1" customWidth="1"/>
    <col min="15362" max="15362" width="5.75" style="3" customWidth="1"/>
    <col min="15363" max="15363" width="21.625" style="3" customWidth="1"/>
    <col min="15364" max="15364" width="17.5" style="3" customWidth="1"/>
    <col min="15365" max="15365" width="19.125" style="3" customWidth="1"/>
    <col min="15366" max="15366" width="7.75" style="3" customWidth="1"/>
    <col min="15367" max="15367" width="8.875" style="3" customWidth="1"/>
    <col min="15368" max="15368" width="7.875" style="3" customWidth="1"/>
    <col min="15369" max="15370" width="8.75" style="3" customWidth="1"/>
    <col min="15371" max="15371" width="17.125" style="3" customWidth="1"/>
    <col min="15372" max="15385" width="0" style="3" hidden="1" customWidth="1"/>
    <col min="15386" max="15616" width="9" style="3"/>
    <col min="15617" max="15617" width="0" style="3" hidden="1" customWidth="1"/>
    <col min="15618" max="15618" width="5.75" style="3" customWidth="1"/>
    <col min="15619" max="15619" width="21.625" style="3" customWidth="1"/>
    <col min="15620" max="15620" width="17.5" style="3" customWidth="1"/>
    <col min="15621" max="15621" width="19.125" style="3" customWidth="1"/>
    <col min="15622" max="15622" width="7.75" style="3" customWidth="1"/>
    <col min="15623" max="15623" width="8.875" style="3" customWidth="1"/>
    <col min="15624" max="15624" width="7.875" style="3" customWidth="1"/>
    <col min="15625" max="15626" width="8.75" style="3" customWidth="1"/>
    <col min="15627" max="15627" width="17.125" style="3" customWidth="1"/>
    <col min="15628" max="15641" width="0" style="3" hidden="1" customWidth="1"/>
    <col min="15642" max="15872" width="9" style="3"/>
    <col min="15873" max="15873" width="0" style="3" hidden="1" customWidth="1"/>
    <col min="15874" max="15874" width="5.75" style="3" customWidth="1"/>
    <col min="15875" max="15875" width="21.625" style="3" customWidth="1"/>
    <col min="15876" max="15876" width="17.5" style="3" customWidth="1"/>
    <col min="15877" max="15877" width="19.125" style="3" customWidth="1"/>
    <col min="15878" max="15878" width="7.75" style="3" customWidth="1"/>
    <col min="15879" max="15879" width="8.875" style="3" customWidth="1"/>
    <col min="15880" max="15880" width="7.875" style="3" customWidth="1"/>
    <col min="15881" max="15882" width="8.75" style="3" customWidth="1"/>
    <col min="15883" max="15883" width="17.125" style="3" customWidth="1"/>
    <col min="15884" max="15897" width="0" style="3" hidden="1" customWidth="1"/>
    <col min="15898" max="16128" width="9" style="3"/>
    <col min="16129" max="16129" width="0" style="3" hidden="1" customWidth="1"/>
    <col min="16130" max="16130" width="5.75" style="3" customWidth="1"/>
    <col min="16131" max="16131" width="21.625" style="3" customWidth="1"/>
    <col min="16132" max="16132" width="17.5" style="3" customWidth="1"/>
    <col min="16133" max="16133" width="19.125" style="3" customWidth="1"/>
    <col min="16134" max="16134" width="7.75" style="3" customWidth="1"/>
    <col min="16135" max="16135" width="8.875" style="3" customWidth="1"/>
    <col min="16136" max="16136" width="7.875" style="3" customWidth="1"/>
    <col min="16137" max="16138" width="8.75" style="3" customWidth="1"/>
    <col min="16139" max="16139" width="17.125" style="3" customWidth="1"/>
    <col min="16140" max="16153" width="0" style="3" hidden="1" customWidth="1"/>
    <col min="16154" max="16384" width="9" style="3"/>
  </cols>
  <sheetData>
    <row r="1" spans="1:37" ht="18.75" x14ac:dyDescent="0.25">
      <c r="B1" s="186" t="s">
        <v>0</v>
      </c>
      <c r="C1" s="186"/>
      <c r="D1" s="186"/>
      <c r="E1" s="186"/>
      <c r="F1" s="187" t="s">
        <v>1</v>
      </c>
      <c r="G1" s="187"/>
      <c r="H1" s="187"/>
      <c r="I1" s="187"/>
      <c r="J1" s="187"/>
      <c r="K1" s="187"/>
      <c r="L1" s="2"/>
      <c r="M1" s="2"/>
      <c r="N1" s="2"/>
      <c r="O1" s="2"/>
      <c r="P1" s="2"/>
      <c r="Q1" s="2"/>
      <c r="R1" s="2"/>
      <c r="S1" s="2"/>
      <c r="T1" s="2"/>
      <c r="U1" s="18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8.75" x14ac:dyDescent="0.25">
      <c r="B2" s="188" t="s">
        <v>2</v>
      </c>
      <c r="C2" s="188"/>
      <c r="D2" s="188"/>
      <c r="E2" s="188"/>
      <c r="F2" s="187" t="s">
        <v>3</v>
      </c>
      <c r="G2" s="187"/>
      <c r="H2" s="187"/>
      <c r="I2" s="187"/>
      <c r="J2" s="187"/>
      <c r="K2" s="187"/>
      <c r="L2" s="4"/>
      <c r="M2" s="4"/>
      <c r="N2" s="4"/>
      <c r="O2" s="4"/>
      <c r="P2" s="4"/>
      <c r="Q2" s="4"/>
      <c r="R2" s="4"/>
      <c r="S2" s="4"/>
      <c r="T2" s="4"/>
      <c r="U2" s="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ht="18.75" x14ac:dyDescent="0.25">
      <c r="B3" s="188" t="s">
        <v>4</v>
      </c>
      <c r="C3" s="188"/>
      <c r="D3" s="188"/>
      <c r="E3" s="188"/>
      <c r="F3" s="5"/>
      <c r="G3" s="5"/>
      <c r="H3" s="5"/>
      <c r="I3" s="5"/>
      <c r="J3" s="5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7"/>
      <c r="AE3" s="7"/>
      <c r="AF3" s="7"/>
      <c r="AG3" s="7"/>
      <c r="AH3" s="7"/>
      <c r="AI3" s="7"/>
      <c r="AJ3" s="7"/>
      <c r="AK3" s="7"/>
    </row>
    <row r="4" spans="1:37" ht="15" customHeight="1" x14ac:dyDescent="0.25"/>
    <row r="5" spans="1:37" s="12" customFormat="1" ht="24" customHeight="1" x14ac:dyDescent="0.25">
      <c r="A5" s="11"/>
      <c r="B5" s="187" t="s">
        <v>5</v>
      </c>
      <c r="C5" s="187"/>
      <c r="D5" s="187"/>
      <c r="E5" s="187"/>
      <c r="F5" s="187"/>
      <c r="G5" s="187"/>
      <c r="H5" s="187"/>
      <c r="I5" s="187"/>
      <c r="J5" s="187"/>
      <c r="K5" s="187"/>
      <c r="L5" s="4"/>
      <c r="M5" s="4"/>
      <c r="N5" s="4"/>
      <c r="O5" s="4"/>
      <c r="P5" s="4"/>
      <c r="Q5" s="4"/>
      <c r="R5" s="4"/>
      <c r="S5" s="4"/>
      <c r="T5" s="4"/>
      <c r="U5" s="7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7" s="12" customFormat="1" ht="28.5" customHeight="1" x14ac:dyDescent="0.25">
      <c r="A6" s="11"/>
      <c r="B6" s="188" t="s">
        <v>6</v>
      </c>
      <c r="C6" s="188"/>
      <c r="D6" s="188"/>
      <c r="E6" s="188"/>
      <c r="F6" s="188"/>
      <c r="G6" s="188"/>
      <c r="H6" s="188"/>
      <c r="I6" s="188"/>
      <c r="J6" s="188"/>
      <c r="K6" s="188"/>
      <c r="L6" s="13"/>
      <c r="M6" s="13"/>
      <c r="N6" s="13"/>
      <c r="O6" s="13"/>
      <c r="P6" s="13"/>
      <c r="Q6" s="13"/>
      <c r="R6" s="13"/>
      <c r="S6" s="13"/>
      <c r="T6" s="13"/>
      <c r="U6" s="14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7" s="12" customFormat="1" ht="18.75" x14ac:dyDescent="0.25">
      <c r="A7" s="11"/>
      <c r="B7" s="14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  <c r="P7" s="13"/>
      <c r="Q7" s="13"/>
      <c r="R7" s="13"/>
      <c r="S7" s="13"/>
      <c r="T7" s="13"/>
      <c r="U7" s="14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7" ht="25.5" customHeight="1" x14ac:dyDescent="0.25">
      <c r="B8" s="189" t="s">
        <v>7</v>
      </c>
      <c r="C8" s="191" t="s">
        <v>8</v>
      </c>
      <c r="D8" s="193" t="s">
        <v>9</v>
      </c>
      <c r="E8" s="193" t="s">
        <v>10</v>
      </c>
      <c r="F8" s="195" t="s">
        <v>11</v>
      </c>
      <c r="G8" s="191" t="s">
        <v>12</v>
      </c>
      <c r="H8" s="193" t="s">
        <v>13</v>
      </c>
      <c r="I8" s="196" t="s">
        <v>14</v>
      </c>
      <c r="J8" s="197"/>
      <c r="K8" s="198" t="s">
        <v>15</v>
      </c>
      <c r="L8" s="15"/>
      <c r="M8" s="16"/>
      <c r="N8" s="16"/>
      <c r="O8" s="16"/>
      <c r="P8" s="16"/>
      <c r="Q8" s="15"/>
      <c r="R8" s="16"/>
      <c r="S8" s="16"/>
    </row>
    <row r="9" spans="1:37" ht="36.75" customHeight="1" x14ac:dyDescent="0.25">
      <c r="B9" s="190"/>
      <c r="C9" s="192"/>
      <c r="D9" s="194"/>
      <c r="E9" s="194"/>
      <c r="F9" s="195"/>
      <c r="G9" s="192"/>
      <c r="H9" s="194"/>
      <c r="I9" s="17" t="s">
        <v>16</v>
      </c>
      <c r="J9" s="17" t="s">
        <v>17</v>
      </c>
      <c r="K9" s="199"/>
      <c r="L9" s="15"/>
      <c r="M9" s="16"/>
      <c r="N9" s="16"/>
      <c r="O9" s="16"/>
      <c r="P9" s="16"/>
      <c r="Q9" s="15"/>
      <c r="R9" s="16"/>
      <c r="S9" s="16"/>
    </row>
    <row r="10" spans="1:37" s="2" customFormat="1" x14ac:dyDescent="0.25">
      <c r="A10" s="18"/>
      <c r="B10" s="19" t="s">
        <v>18</v>
      </c>
      <c r="C10" s="20" t="s">
        <v>513</v>
      </c>
      <c r="D10" s="19" t="str">
        <f>CONCATENATE(COUNT(B10:B29)," trạm")</f>
        <v>14 trạm</v>
      </c>
      <c r="E10" s="19"/>
      <c r="F10" s="17">
        <f>SUM(F11,F17,F27,)</f>
        <v>79</v>
      </c>
      <c r="G10" s="17"/>
      <c r="H10" s="21"/>
      <c r="I10" s="21"/>
      <c r="J10" s="21"/>
      <c r="K10" s="22"/>
      <c r="L10" s="23">
        <f>+L11+L17+L27</f>
        <v>0</v>
      </c>
      <c r="M10" s="23">
        <f>+M11+M17+M27</f>
        <v>6</v>
      </c>
      <c r="N10" s="23">
        <f>+N11+N17+N27</f>
        <v>6</v>
      </c>
      <c r="O10" s="24"/>
      <c r="P10" s="24"/>
      <c r="Q10" s="23">
        <f>+Q11+Q17+Q27</f>
        <v>137010</v>
      </c>
      <c r="R10" s="24"/>
      <c r="S10" s="24"/>
      <c r="W10"/>
    </row>
    <row r="11" spans="1:37" s="2" customFormat="1" x14ac:dyDescent="0.25">
      <c r="A11" s="18"/>
      <c r="B11" s="22"/>
      <c r="C11" s="20" t="s">
        <v>20</v>
      </c>
      <c r="D11" s="19" t="str">
        <f>CONCATENATE(COUNT(B11:B17)," trạm")</f>
        <v>5 trạm</v>
      </c>
      <c r="E11" s="19"/>
      <c r="F11" s="17">
        <f>SUM(F12:F16)</f>
        <v>13</v>
      </c>
      <c r="G11" s="17"/>
      <c r="H11" s="21"/>
      <c r="I11" s="21"/>
      <c r="J11" s="21"/>
      <c r="K11" s="22"/>
      <c r="L11" s="25">
        <f>COUNTIF(H12:H15,"lớn")</f>
        <v>0</v>
      </c>
      <c r="M11" s="25">
        <f>COUNTIF(H12:H15,"vừa")</f>
        <v>0</v>
      </c>
      <c r="N11" s="25">
        <f>COUNTIF(H12:H15,"nhỏ")</f>
        <v>4</v>
      </c>
      <c r="O11" s="24"/>
      <c r="P11" s="24"/>
      <c r="Q11" s="23">
        <f>SUM(Q12:Q15)</f>
        <v>11900</v>
      </c>
      <c r="R11" s="24"/>
      <c r="S11" s="24"/>
    </row>
    <row r="12" spans="1:37" x14ac:dyDescent="0.25">
      <c r="A12" s="1">
        <f ca="1">IF(B12&gt;0,SUM(MAX($A$10:A16),1),0)</f>
        <v>2</v>
      </c>
      <c r="B12" s="102">
        <f>+SUM(MAX($A$10:B11),1)</f>
        <v>1</v>
      </c>
      <c r="C12" s="27" t="s">
        <v>24</v>
      </c>
      <c r="D12" s="26" t="s">
        <v>514</v>
      </c>
      <c r="E12" s="30" t="s">
        <v>26</v>
      </c>
      <c r="F12" s="26">
        <v>3</v>
      </c>
      <c r="G12" s="28">
        <v>980</v>
      </c>
      <c r="H12" s="29" t="str">
        <f t="shared" ref="H12:H25" si="0">IF(AND(Q12&lt;3600,Q12&gt;0),"nhỏ",IF(AND(Q12&gt;=3600,Q12&lt;72000),"vừa",IF(Q12&lt;&gt;0,"lớn",0)))</f>
        <v>nhỏ</v>
      </c>
      <c r="I12" s="28">
        <v>440.82</v>
      </c>
      <c r="J12" s="29"/>
      <c r="K12" s="31" t="s">
        <v>27</v>
      </c>
      <c r="L12" s="15"/>
      <c r="M12" s="16"/>
      <c r="N12" s="16"/>
      <c r="O12" s="16"/>
      <c r="P12" s="16"/>
      <c r="Q12" s="15">
        <f t="shared" ref="Q12:Q25" si="1">F12*G12</f>
        <v>2940</v>
      </c>
      <c r="R12" s="16"/>
      <c r="S12" s="16"/>
    </row>
    <row r="13" spans="1:37" ht="33" x14ac:dyDescent="0.25">
      <c r="A13" s="1">
        <f ca="1">IF(B13&gt;0,SUM(MAX($A$10:A12),1),0)</f>
        <v>3</v>
      </c>
      <c r="B13" s="102">
        <v>2</v>
      </c>
      <c r="C13" s="27" t="s">
        <v>28</v>
      </c>
      <c r="D13" s="26" t="s">
        <v>515</v>
      </c>
      <c r="E13" s="108" t="s">
        <v>519</v>
      </c>
      <c r="F13" s="26">
        <v>3</v>
      </c>
      <c r="G13" s="28">
        <v>1120</v>
      </c>
      <c r="H13" s="29" t="str">
        <f t="shared" si="0"/>
        <v>nhỏ</v>
      </c>
      <c r="I13" s="28">
        <v>399.19</v>
      </c>
      <c r="J13" s="29"/>
      <c r="K13" s="30"/>
      <c r="L13" s="15"/>
      <c r="M13" s="16"/>
      <c r="N13" s="16"/>
      <c r="O13" s="16"/>
      <c r="P13" s="16"/>
      <c r="Q13" s="15">
        <f t="shared" si="1"/>
        <v>3360</v>
      </c>
      <c r="R13" s="16"/>
      <c r="S13" s="16"/>
      <c r="U13" s="3"/>
    </row>
    <row r="14" spans="1:37" ht="33" x14ac:dyDescent="0.25">
      <c r="B14" s="102">
        <v>3</v>
      </c>
      <c r="C14" s="27" t="s">
        <v>31</v>
      </c>
      <c r="D14" s="26" t="s">
        <v>515</v>
      </c>
      <c r="E14" s="108" t="str">
        <f>E13</f>
        <v>Sông Tô Lịch (Nhánh chảy về TB Yên Sở)</v>
      </c>
      <c r="F14" s="26">
        <v>2</v>
      </c>
      <c r="G14" s="28">
        <v>1120</v>
      </c>
      <c r="H14" s="29" t="str">
        <f t="shared" si="0"/>
        <v>nhỏ</v>
      </c>
      <c r="I14" s="28">
        <v>599.80999999999995</v>
      </c>
      <c r="J14" s="29"/>
      <c r="K14" s="30"/>
      <c r="L14" s="15"/>
      <c r="M14" s="16"/>
      <c r="N14" s="16"/>
      <c r="O14" s="16"/>
      <c r="P14" s="16"/>
      <c r="Q14" s="15">
        <f t="shared" si="1"/>
        <v>2240</v>
      </c>
      <c r="R14" s="16"/>
      <c r="S14" s="16"/>
      <c r="U14" s="3"/>
    </row>
    <row r="15" spans="1:37" ht="33" x14ac:dyDescent="0.25">
      <c r="B15" s="102">
        <v>4</v>
      </c>
      <c r="C15" s="27" t="s">
        <v>32</v>
      </c>
      <c r="D15" s="26" t="s">
        <v>514</v>
      </c>
      <c r="E15" s="108" t="str">
        <f>E13</f>
        <v>Sông Tô Lịch (Nhánh chảy về TB Yên Sở)</v>
      </c>
      <c r="F15" s="26">
        <v>3</v>
      </c>
      <c r="G15" s="28">
        <v>1120</v>
      </c>
      <c r="H15" s="29" t="str">
        <f t="shared" si="0"/>
        <v>nhỏ</v>
      </c>
      <c r="I15" s="28">
        <v>885.72</v>
      </c>
      <c r="J15" s="29"/>
      <c r="K15" s="30"/>
      <c r="L15" s="15"/>
      <c r="M15" s="16"/>
      <c r="N15" s="16"/>
      <c r="O15" s="16"/>
      <c r="P15" s="16"/>
      <c r="Q15" s="15">
        <f t="shared" si="1"/>
        <v>3360</v>
      </c>
      <c r="R15" s="16"/>
      <c r="S15" s="16"/>
      <c r="U15" s="3"/>
    </row>
    <row r="16" spans="1:37" ht="33" x14ac:dyDescent="0.25">
      <c r="A16" s="1">
        <f>IF(B16&gt;0,SUM(MAX($A$10:A11),1),0)</f>
        <v>1</v>
      </c>
      <c r="B16" s="102">
        <v>5</v>
      </c>
      <c r="C16" s="27" t="s">
        <v>21</v>
      </c>
      <c r="D16" s="26" t="s">
        <v>517</v>
      </c>
      <c r="E16" s="26" t="s">
        <v>516</v>
      </c>
      <c r="F16" s="26">
        <v>2</v>
      </c>
      <c r="G16" s="28">
        <v>1120</v>
      </c>
      <c r="H16" s="29" t="str">
        <f>IF(AND(Q16&lt;3600,Q16&gt;0),"nhỏ",IF(AND(Q16&gt;=3600,Q16&lt;72000),"vừa",IF(Q16&lt;&gt;0,"lớn",0)))</f>
        <v>nhỏ</v>
      </c>
      <c r="I16" s="28">
        <v>414.1</v>
      </c>
      <c r="J16" s="29"/>
      <c r="K16" s="30"/>
      <c r="L16" s="15"/>
      <c r="M16" s="16"/>
      <c r="N16" s="16"/>
      <c r="O16" s="16"/>
      <c r="P16" s="16"/>
      <c r="Q16" s="15">
        <f>F16*G16</f>
        <v>2240</v>
      </c>
      <c r="R16" s="16"/>
      <c r="S16" s="16"/>
      <c r="U16" s="3"/>
    </row>
    <row r="17" spans="1:21" s="2" customFormat="1" x14ac:dyDescent="0.25">
      <c r="A17" s="1">
        <f>IF(B17&gt;0,SUM(MAX($A$10:A13),1),0)</f>
        <v>0</v>
      </c>
      <c r="B17" s="26"/>
      <c r="C17" s="20" t="s">
        <v>34</v>
      </c>
      <c r="D17" s="19" t="str">
        <f>CONCATENATE(COUNT(B17:B27)," trạm")</f>
        <v>7 trạm</v>
      </c>
      <c r="E17" s="19"/>
      <c r="F17" s="17">
        <f>SUM(F18:F26)</f>
        <v>59</v>
      </c>
      <c r="G17" s="31"/>
      <c r="H17" s="21"/>
      <c r="I17" s="21"/>
      <c r="J17" s="21"/>
      <c r="K17" s="22"/>
      <c r="L17" s="25">
        <f>COUNTIF(H18:H26,"lớn")</f>
        <v>0</v>
      </c>
      <c r="M17" s="25">
        <f>COUNTIF(H18:H26,"vừa")</f>
        <v>5</v>
      </c>
      <c r="N17" s="25">
        <f>COUNTIF(H18:H26,"nhỏ")</f>
        <v>2</v>
      </c>
      <c r="O17" s="24"/>
      <c r="P17" s="24"/>
      <c r="Q17" s="23">
        <f>SUM(Q18:Q26)</f>
        <v>107610</v>
      </c>
      <c r="R17" s="24"/>
      <c r="S17" s="24"/>
    </row>
    <row r="18" spans="1:21" x14ac:dyDescent="0.25">
      <c r="A18" s="1">
        <f ca="1">IF(B18&gt;0,SUM(MAX($A$10:A17),1),0)</f>
        <v>4</v>
      </c>
      <c r="B18" s="26">
        <f>SUM(MAX($B$17:B17),1)</f>
        <v>1</v>
      </c>
      <c r="C18" s="27" t="s">
        <v>35</v>
      </c>
      <c r="D18" s="26" t="s">
        <v>518</v>
      </c>
      <c r="E18" s="32" t="s">
        <v>37</v>
      </c>
      <c r="F18" s="26">
        <v>24</v>
      </c>
      <c r="G18" s="28">
        <v>1100</v>
      </c>
      <c r="H18" s="29" t="str">
        <f t="shared" si="0"/>
        <v>vừa</v>
      </c>
      <c r="I18" s="29"/>
      <c r="J18" s="28">
        <v>840</v>
      </c>
      <c r="K18" s="31" t="s">
        <v>38</v>
      </c>
      <c r="L18" s="15"/>
      <c r="M18" s="16"/>
      <c r="N18" s="16"/>
      <c r="O18" s="16"/>
      <c r="P18" s="16"/>
      <c r="Q18" s="15">
        <f t="shared" si="1"/>
        <v>26400</v>
      </c>
      <c r="R18" s="16"/>
      <c r="S18" s="16"/>
      <c r="U18" s="3"/>
    </row>
    <row r="19" spans="1:21" x14ac:dyDescent="0.25">
      <c r="A19" s="1">
        <f ca="1">IF(B19&gt;0,SUM(MAX($A$10:A20),1),0)</f>
        <v>7</v>
      </c>
      <c r="B19" s="26">
        <v>2</v>
      </c>
      <c r="C19" s="27" t="s">
        <v>44</v>
      </c>
      <c r="D19" s="26" t="s">
        <v>514</v>
      </c>
      <c r="E19" s="30" t="s">
        <v>26</v>
      </c>
      <c r="F19" s="26">
        <v>3</v>
      </c>
      <c r="G19" s="28">
        <v>980</v>
      </c>
      <c r="H19" s="29" t="str">
        <f>IF(AND(Q19&lt;3600,Q19&gt;0),"nhỏ",IF(AND(Q19&gt;=3600,Q19&lt;72000),"vừa",IF(Q19&lt;&gt;0,"lớn",0)))</f>
        <v>nhỏ</v>
      </c>
      <c r="I19" s="29"/>
      <c r="J19" s="28">
        <v>250</v>
      </c>
      <c r="K19" s="31" t="s">
        <v>46</v>
      </c>
      <c r="L19" s="15"/>
      <c r="M19" s="16"/>
      <c r="N19" s="16"/>
      <c r="O19" s="16"/>
      <c r="P19" s="16"/>
      <c r="Q19" s="15">
        <f>F19*G19</f>
        <v>2940</v>
      </c>
      <c r="R19" s="16"/>
      <c r="S19" s="16"/>
    </row>
    <row r="20" spans="1:21" x14ac:dyDescent="0.25">
      <c r="A20" s="1">
        <f ca="1">IF(B20&gt;0,SUM(MAX($A$10:A25),1),0)</f>
        <v>6</v>
      </c>
      <c r="B20" s="26">
        <v>3</v>
      </c>
      <c r="C20" s="27" t="s">
        <v>41</v>
      </c>
      <c r="D20" s="26" t="s">
        <v>58</v>
      </c>
      <c r="E20" s="30" t="s">
        <v>26</v>
      </c>
      <c r="F20" s="26">
        <v>14</v>
      </c>
      <c r="G20" s="28">
        <v>2500</v>
      </c>
      <c r="H20" s="29" t="str">
        <f>IF(AND(Q20&lt;3600,Q20&gt;0),"nhỏ",IF(AND(Q20&gt;=3600,Q20&lt;72000),"vừa",IF(Q20&lt;&gt;0,"lớn",0)))</f>
        <v>vừa</v>
      </c>
      <c r="I20" s="29"/>
      <c r="J20" s="28">
        <v>1300</v>
      </c>
      <c r="K20" s="31" t="s">
        <v>43</v>
      </c>
      <c r="L20" s="15"/>
      <c r="M20" s="16"/>
      <c r="N20" s="16"/>
      <c r="O20" s="16"/>
      <c r="P20" s="16"/>
      <c r="Q20" s="15">
        <f>F20*G20</f>
        <v>35000</v>
      </c>
      <c r="R20" s="16"/>
      <c r="S20" s="16"/>
    </row>
    <row r="21" spans="1:21" x14ac:dyDescent="0.25">
      <c r="A21" s="1">
        <f ca="1">IF(B21&gt;0,SUM(MAX($A$10:A26),1),0)</f>
        <v>10</v>
      </c>
      <c r="B21" s="26">
        <v>4</v>
      </c>
      <c r="C21" s="27" t="s">
        <v>55</v>
      </c>
      <c r="D21" s="26" t="s">
        <v>514</v>
      </c>
      <c r="E21" s="30" t="s">
        <v>26</v>
      </c>
      <c r="F21" s="26">
        <v>5</v>
      </c>
      <c r="G21" s="28">
        <v>2500</v>
      </c>
      <c r="H21" s="29" t="str">
        <f>IF(AND(Q21&lt;3600,Q21&gt;0),"nhỏ",IF(AND(Q21&gt;=3600,Q21&lt;72000),"vừa",IF(Q21&lt;&gt;0,"lớn",0)))</f>
        <v>vừa</v>
      </c>
      <c r="I21" s="29"/>
      <c r="J21" s="28">
        <v>426</v>
      </c>
      <c r="K21" s="31" t="s">
        <v>56</v>
      </c>
      <c r="L21" s="15"/>
      <c r="M21" s="16"/>
      <c r="N21" s="16"/>
      <c r="O21" s="16"/>
      <c r="P21" s="16"/>
      <c r="Q21" s="15">
        <f>F21*G21</f>
        <v>12500</v>
      </c>
      <c r="R21" s="16"/>
      <c r="S21" s="16"/>
    </row>
    <row r="22" spans="1:21" x14ac:dyDescent="0.25">
      <c r="A22" s="1">
        <f ca="1">IF(B22&gt;0,SUM(MAX($A$10:A20),1),0)</f>
        <v>8</v>
      </c>
      <c r="B22" s="202">
        <f>SUM(MAX($B$17:B21),1)</f>
        <v>5</v>
      </c>
      <c r="C22" s="204" t="s">
        <v>47</v>
      </c>
      <c r="D22" s="202" t="s">
        <v>58</v>
      </c>
      <c r="E22" s="206" t="s">
        <v>26</v>
      </c>
      <c r="F22" s="26">
        <v>4</v>
      </c>
      <c r="G22" s="28">
        <v>4000</v>
      </c>
      <c r="H22" s="208" t="str">
        <f>IF(AND(Q22&lt;3600,Q22&gt;0),"nhỏ",IF(AND(Q22&gt;=3600,Q22&lt;72000),"vừa",IF(Q22&lt;&gt;0,"lớn",0)))</f>
        <v>vừa</v>
      </c>
      <c r="I22" s="208"/>
      <c r="J22" s="212">
        <v>450</v>
      </c>
      <c r="K22" s="200" t="s">
        <v>49</v>
      </c>
      <c r="L22" s="15"/>
      <c r="M22" s="16"/>
      <c r="N22" s="16"/>
      <c r="O22" s="16"/>
      <c r="P22" s="16"/>
      <c r="Q22" s="15">
        <f>F22*G22+F23*G23+F24*G24</f>
        <v>19910</v>
      </c>
      <c r="R22" s="16"/>
      <c r="S22" s="16"/>
    </row>
    <row r="23" spans="1:21" ht="16.5" customHeight="1" x14ac:dyDescent="0.25">
      <c r="B23" s="210"/>
      <c r="C23" s="205"/>
      <c r="D23" s="210"/>
      <c r="E23" s="207"/>
      <c r="F23" s="26">
        <v>1</v>
      </c>
      <c r="G23" s="28">
        <v>1950</v>
      </c>
      <c r="H23" s="211"/>
      <c r="I23" s="209"/>
      <c r="J23" s="213"/>
      <c r="K23" s="201"/>
      <c r="L23" s="15"/>
      <c r="M23" s="16"/>
      <c r="N23" s="16"/>
      <c r="O23" s="16"/>
      <c r="P23" s="16"/>
      <c r="Q23" s="15"/>
      <c r="R23" s="16"/>
      <c r="S23" s="16"/>
      <c r="U23" s="3"/>
    </row>
    <row r="24" spans="1:21" ht="27" customHeight="1" x14ac:dyDescent="0.25">
      <c r="B24" s="110"/>
      <c r="C24" s="27" t="s">
        <v>494</v>
      </c>
      <c r="D24" s="203"/>
      <c r="E24" s="30" t="s">
        <v>26</v>
      </c>
      <c r="F24" s="26">
        <v>2</v>
      </c>
      <c r="G24" s="28">
        <v>980</v>
      </c>
      <c r="H24" s="209"/>
      <c r="I24" s="28">
        <v>506.49</v>
      </c>
      <c r="J24" s="34"/>
      <c r="K24" s="31" t="s">
        <v>51</v>
      </c>
      <c r="L24" s="15"/>
      <c r="M24" s="16"/>
      <c r="N24" s="16"/>
      <c r="O24" s="16"/>
      <c r="P24" s="16"/>
      <c r="Q24" s="15"/>
      <c r="R24" s="16"/>
      <c r="S24" s="16"/>
    </row>
    <row r="25" spans="1:21" ht="33" x14ac:dyDescent="0.25">
      <c r="A25" s="1">
        <f ca="1">IF(B25&gt;0,SUM(MAX($A$10:A18),1),0)</f>
        <v>5</v>
      </c>
      <c r="B25" s="26">
        <f>B22+1</f>
        <v>6</v>
      </c>
      <c r="C25" s="27" t="s">
        <v>39</v>
      </c>
      <c r="D25" s="26" t="s">
        <v>58</v>
      </c>
      <c r="E25" s="26" t="s">
        <v>520</v>
      </c>
      <c r="F25" s="26">
        <v>3</v>
      </c>
      <c r="G25" s="28">
        <v>2500</v>
      </c>
      <c r="H25" s="29" t="str">
        <f t="shared" si="0"/>
        <v>vừa</v>
      </c>
      <c r="I25" s="29"/>
      <c r="J25" s="28">
        <v>350</v>
      </c>
      <c r="K25" s="30"/>
      <c r="L25" s="15"/>
      <c r="M25" s="16"/>
      <c r="N25" s="16"/>
      <c r="O25" s="16"/>
      <c r="P25" s="16"/>
      <c r="Q25" s="15">
        <f t="shared" si="1"/>
        <v>7500</v>
      </c>
      <c r="R25" s="16"/>
      <c r="S25" s="16"/>
      <c r="U25" s="3"/>
    </row>
    <row r="26" spans="1:21" x14ac:dyDescent="0.25">
      <c r="A26" s="1">
        <f ca="1">IF(B26&gt;0,SUM(MAX($A$10:A22),1),0)</f>
        <v>0</v>
      </c>
      <c r="B26" s="26">
        <f>B25+1</f>
        <v>7</v>
      </c>
      <c r="C26" s="27" t="s">
        <v>52</v>
      </c>
      <c r="D26" s="30" t="s">
        <v>58</v>
      </c>
      <c r="E26" s="30" t="s">
        <v>54</v>
      </c>
      <c r="F26" s="26">
        <v>3</v>
      </c>
      <c r="G26" s="28">
        <v>1120</v>
      </c>
      <c r="H26" s="29" t="str">
        <f>IF(AND(Q26&lt;3600,Q26&gt;0),"nhỏ",IF(AND(Q26&gt;=3600,Q26&lt;72000),"vừa",IF(Q26&lt;&gt;0,"lớn",0)))</f>
        <v>nhỏ</v>
      </c>
      <c r="I26" s="29"/>
      <c r="J26" s="29"/>
      <c r="K26" s="30"/>
      <c r="L26" s="15"/>
      <c r="M26" s="16"/>
      <c r="N26" s="16"/>
      <c r="O26" s="16"/>
      <c r="P26" s="16"/>
      <c r="Q26" s="15">
        <f>F26*G26</f>
        <v>3360</v>
      </c>
      <c r="R26" s="16"/>
      <c r="S26" s="16"/>
      <c r="U26" s="3"/>
    </row>
    <row r="27" spans="1:21" s="2" customFormat="1" x14ac:dyDescent="0.25">
      <c r="A27" s="1">
        <f>IF(B27&gt;0,SUM(MAX($A$10:A26),1),0)</f>
        <v>0</v>
      </c>
      <c r="B27" s="19"/>
      <c r="C27" s="20" t="s">
        <v>112</v>
      </c>
      <c r="D27" s="19" t="str">
        <f>CONCATENATE(COUNT(B27:B29)," trạm")</f>
        <v>2 trạm</v>
      </c>
      <c r="E27" s="19"/>
      <c r="F27" s="17">
        <f>SUM(F28:F29)</f>
        <v>7</v>
      </c>
      <c r="G27" s="35"/>
      <c r="H27" s="36"/>
      <c r="I27" s="36"/>
      <c r="J27" s="36"/>
      <c r="K27" s="22"/>
      <c r="L27" s="25">
        <f>COUNTIF(H29:H29,"lớn")</f>
        <v>0</v>
      </c>
      <c r="M27" s="25">
        <f>COUNTIF(H29:H29,"vừa")</f>
        <v>1</v>
      </c>
      <c r="N27" s="25">
        <f>COUNTIF(H29:H29,"nhỏ")</f>
        <v>0</v>
      </c>
      <c r="O27" s="24"/>
      <c r="P27" s="24"/>
      <c r="Q27" s="23">
        <f>Q29+Q28</f>
        <v>17500</v>
      </c>
      <c r="R27" s="24"/>
      <c r="S27" s="24"/>
    </row>
    <row r="28" spans="1:21" x14ac:dyDescent="0.25">
      <c r="A28" s="1">
        <f ca="1">IF(B28&gt;0,SUM(MAX($A$10:A29),1),0)</f>
        <v>12</v>
      </c>
      <c r="B28" s="26">
        <f>B26+1</f>
        <v>8</v>
      </c>
      <c r="C28" s="27" t="s">
        <v>60</v>
      </c>
      <c r="D28" s="37" t="s">
        <v>514</v>
      </c>
      <c r="E28" s="37" t="s">
        <v>26</v>
      </c>
      <c r="F28" s="26">
        <v>4</v>
      </c>
      <c r="G28" s="31">
        <v>2500</v>
      </c>
      <c r="H28" s="29" t="str">
        <f>IF(AND(Q28&lt;3600,Q28&gt;0),"nhỏ",IF(AND(Q28&gt;=3600,Q28&lt;72000),"vừa",IF(Q28&lt;&gt;0,"lớn",0)))</f>
        <v>vừa</v>
      </c>
      <c r="I28" s="28">
        <v>70</v>
      </c>
      <c r="J28" s="28">
        <v>373</v>
      </c>
      <c r="K28" s="31" t="s">
        <v>62</v>
      </c>
      <c r="L28" s="15"/>
      <c r="M28" s="16"/>
      <c r="N28" s="16"/>
      <c r="O28" s="16"/>
      <c r="P28" s="16"/>
      <c r="Q28" s="15">
        <f>F28*G28</f>
        <v>10000</v>
      </c>
      <c r="R28" s="16"/>
      <c r="S28" s="16"/>
    </row>
    <row r="29" spans="1:21" ht="33" x14ac:dyDescent="0.25">
      <c r="A29" s="1">
        <f ca="1">IF(B29&gt;0,SUM(MAX($A$10:A27),1),0)</f>
        <v>11</v>
      </c>
      <c r="B29" s="26">
        <f>B28+1</f>
        <v>9</v>
      </c>
      <c r="C29" s="27" t="s">
        <v>58</v>
      </c>
      <c r="D29" s="26" t="s">
        <v>58</v>
      </c>
      <c r="E29" s="26" t="s">
        <v>520</v>
      </c>
      <c r="F29" s="26">
        <v>3</v>
      </c>
      <c r="G29" s="31">
        <v>2500</v>
      </c>
      <c r="H29" s="29" t="str">
        <f>IF(AND(Q29&lt;3600,Q29&gt;0),"nhỏ",IF(AND(Q29&gt;=3600,Q29&lt;72000),"vừa",IF(Q29&lt;&gt;0,"lớn",0)))</f>
        <v>vừa</v>
      </c>
      <c r="I29" s="29"/>
      <c r="J29" s="28">
        <v>308</v>
      </c>
      <c r="K29" s="30"/>
      <c r="L29" s="15"/>
      <c r="M29" s="16"/>
      <c r="N29" s="16"/>
      <c r="O29" s="16"/>
      <c r="P29" s="16"/>
      <c r="Q29" s="15">
        <f>F29*G29</f>
        <v>7500</v>
      </c>
      <c r="R29" s="16"/>
      <c r="S29" s="16"/>
      <c r="U29" s="3"/>
    </row>
    <row r="30" spans="1:21" s="2" customFormat="1" x14ac:dyDescent="0.25">
      <c r="A30" s="1"/>
      <c r="B30" s="38" t="s">
        <v>63</v>
      </c>
      <c r="C30" s="20" t="s">
        <v>528</v>
      </c>
      <c r="D30" s="19" t="str">
        <f>CONCATENATE(COUNT(B30:B77)," trạm")</f>
        <v>26 trạm</v>
      </c>
      <c r="E30" s="19"/>
      <c r="F30" s="17">
        <f>+F31+F38+F48</f>
        <v>152</v>
      </c>
      <c r="G30" s="31"/>
      <c r="H30" s="21"/>
      <c r="I30" s="21"/>
      <c r="J30" s="21"/>
      <c r="K30" s="22"/>
      <c r="L30" s="23">
        <f>+L31+L38+L48</f>
        <v>0</v>
      </c>
      <c r="M30" s="23">
        <f>+M31+M38+M48</f>
        <v>37</v>
      </c>
      <c r="N30" s="23">
        <f>+N31+N38+N48</f>
        <v>19</v>
      </c>
      <c r="O30" s="24"/>
      <c r="P30" s="24"/>
      <c r="Q30" s="23" t="e">
        <f>+Q31+Q38+Q48</f>
        <v>#REF!</v>
      </c>
      <c r="R30" s="24"/>
      <c r="S30" s="24"/>
    </row>
    <row r="31" spans="1:21" s="2" customFormat="1" x14ac:dyDescent="0.25">
      <c r="A31" s="1">
        <f>IF(B31&gt;0,SUM(MAX($A$10:A30),1),0)</f>
        <v>0</v>
      </c>
      <c r="B31" s="38"/>
      <c r="C31" s="20" t="s">
        <v>20</v>
      </c>
      <c r="D31" s="17" t="str">
        <f>CONCATENATE(COUNT(B31:B37)," trạm")</f>
        <v>6 trạm</v>
      </c>
      <c r="E31" s="17"/>
      <c r="F31" s="17">
        <f>SUM(F32:F37)</f>
        <v>15</v>
      </c>
      <c r="G31" s="31"/>
      <c r="H31" s="21"/>
      <c r="I31" s="21"/>
      <c r="J31" s="21"/>
      <c r="K31" s="22"/>
      <c r="L31" s="25">
        <f>COUNTIF(H32:H101,"lớn")</f>
        <v>0</v>
      </c>
      <c r="M31" s="25">
        <f>COUNTIF(H32:H101,"vừa")</f>
        <v>26</v>
      </c>
      <c r="N31" s="25">
        <f>COUNTIF(H32:H101,"nhỏ")</f>
        <v>19</v>
      </c>
      <c r="O31" s="24"/>
      <c r="P31" s="24"/>
      <c r="Q31" s="23" t="e">
        <f>SUM(Q32:Q101)</f>
        <v>#REF!</v>
      </c>
      <c r="R31" s="24"/>
      <c r="S31" s="24"/>
    </row>
    <row r="32" spans="1:21" s="41" customFormat="1" x14ac:dyDescent="0.25">
      <c r="A32" s="1">
        <f ca="1">IF(B32&gt;0,SUM(MAX($A$10:A31),1),0)</f>
        <v>13</v>
      </c>
      <c r="B32" s="26">
        <v>1</v>
      </c>
      <c r="C32" s="27" t="s">
        <v>495</v>
      </c>
      <c r="D32" s="26" t="s">
        <v>495</v>
      </c>
      <c r="E32" s="26" t="s">
        <v>37</v>
      </c>
      <c r="F32" s="26">
        <v>5</v>
      </c>
      <c r="G32" s="28">
        <v>8000</v>
      </c>
      <c r="H32" s="29" t="str">
        <f t="shared" ref="H32:H37" si="2">IF(AND(Q32&lt;3600,Q32&gt;0),"nhỏ",IF(AND(Q32&gt;=3600,Q32&lt;72000),"vừa",IF(Q32&lt;&gt;0,"lớn",0)))</f>
        <v>vừa</v>
      </c>
      <c r="I32" s="28">
        <f>7431.3+1700</f>
        <v>9131.2999999999993</v>
      </c>
      <c r="J32" s="29"/>
      <c r="K32" s="31" t="s">
        <v>67</v>
      </c>
      <c r="L32" s="39"/>
      <c r="M32" s="40"/>
      <c r="N32" s="40"/>
      <c r="O32" s="40"/>
      <c r="P32" s="40"/>
      <c r="Q32" s="39">
        <f t="shared" ref="Q32:Q37" si="3">F32*G32</f>
        <v>40000</v>
      </c>
      <c r="R32" s="40"/>
      <c r="S32" s="40"/>
    </row>
    <row r="33" spans="1:21" x14ac:dyDescent="0.25">
      <c r="A33" s="1" t="e">
        <f ca="1">IF(B33&gt;0,SUM(MAX($A$10:A32),1),0)</f>
        <v>#VALUE!</v>
      </c>
      <c r="B33" s="26">
        <f>B32+1</f>
        <v>2</v>
      </c>
      <c r="C33" s="27" t="s">
        <v>68</v>
      </c>
      <c r="D33" s="26" t="s">
        <v>521</v>
      </c>
      <c r="E33" s="30" t="s">
        <v>26</v>
      </c>
      <c r="F33" s="26">
        <v>2</v>
      </c>
      <c r="G33" s="28">
        <v>980</v>
      </c>
      <c r="H33" s="29" t="str">
        <f t="shared" si="2"/>
        <v>nhỏ</v>
      </c>
      <c r="I33" s="28">
        <v>75</v>
      </c>
      <c r="J33" s="29"/>
      <c r="K33" s="31" t="s">
        <v>70</v>
      </c>
      <c r="L33" s="15"/>
      <c r="M33" s="16"/>
      <c r="N33" s="16"/>
      <c r="O33" s="16"/>
      <c r="P33" s="16"/>
      <c r="Q33" s="39">
        <f t="shared" si="3"/>
        <v>1960</v>
      </c>
      <c r="R33" s="16"/>
      <c r="S33" s="16"/>
    </row>
    <row r="34" spans="1:21" s="2" customFormat="1" x14ac:dyDescent="0.25">
      <c r="A34" s="1">
        <f ca="1">IF(B34&gt;0,SUM(MAX($A$10:A33),1),0)</f>
        <v>15</v>
      </c>
      <c r="B34" s="26">
        <f>B33+1</f>
        <v>3</v>
      </c>
      <c r="C34" s="27" t="s">
        <v>71</v>
      </c>
      <c r="D34" s="26" t="s">
        <v>522</v>
      </c>
      <c r="E34" s="30" t="s">
        <v>26</v>
      </c>
      <c r="F34" s="26">
        <v>3</v>
      </c>
      <c r="G34" s="28">
        <v>980</v>
      </c>
      <c r="H34" s="29" t="str">
        <f t="shared" si="2"/>
        <v>nhỏ</v>
      </c>
      <c r="I34" s="28">
        <v>18</v>
      </c>
      <c r="J34" s="29"/>
      <c r="K34" s="22"/>
      <c r="L34" s="23"/>
      <c r="M34" s="24"/>
      <c r="N34" s="24"/>
      <c r="O34" s="24"/>
      <c r="P34" s="24"/>
      <c r="Q34" s="39">
        <f t="shared" si="3"/>
        <v>2940</v>
      </c>
      <c r="R34" s="24"/>
      <c r="S34" s="24"/>
      <c r="U34" s="18"/>
    </row>
    <row r="35" spans="1:21" x14ac:dyDescent="0.25">
      <c r="A35" s="1">
        <f ca="1">IF(B35&gt;0,SUM(MAX($A$10:A34),1),0)</f>
        <v>16</v>
      </c>
      <c r="B35" s="26">
        <f>B34+1</f>
        <v>4</v>
      </c>
      <c r="C35" s="27" t="s">
        <v>73</v>
      </c>
      <c r="D35" s="26" t="s">
        <v>521</v>
      </c>
      <c r="E35" s="30" t="s">
        <v>26</v>
      </c>
      <c r="F35" s="26">
        <v>1</v>
      </c>
      <c r="G35" s="28">
        <v>980</v>
      </c>
      <c r="H35" s="29" t="str">
        <f t="shared" si="2"/>
        <v>nhỏ</v>
      </c>
      <c r="I35" s="29"/>
      <c r="J35" s="29"/>
      <c r="K35" s="31" t="s">
        <v>74</v>
      </c>
      <c r="L35" s="15"/>
      <c r="M35" s="16"/>
      <c r="N35" s="16"/>
      <c r="O35" s="16"/>
      <c r="P35" s="16"/>
      <c r="Q35" s="39">
        <f t="shared" si="3"/>
        <v>980</v>
      </c>
      <c r="R35" s="16"/>
      <c r="S35" s="16"/>
    </row>
    <row r="36" spans="1:21" x14ac:dyDescent="0.25">
      <c r="A36" s="1">
        <f ca="1">IF(B36&gt;0,SUM(MAX($A$10:A35),1),0)</f>
        <v>17</v>
      </c>
      <c r="B36" s="26">
        <f>B35+1</f>
        <v>5</v>
      </c>
      <c r="C36" s="27" t="s">
        <v>75</v>
      </c>
      <c r="D36" s="26" t="s">
        <v>523</v>
      </c>
      <c r="E36" s="30" t="s">
        <v>77</v>
      </c>
      <c r="F36" s="26">
        <v>3</v>
      </c>
      <c r="G36" s="28">
        <v>980</v>
      </c>
      <c r="H36" s="29" t="str">
        <f t="shared" si="2"/>
        <v>nhỏ</v>
      </c>
      <c r="I36" s="28">
        <v>266</v>
      </c>
      <c r="J36" s="29"/>
      <c r="K36" s="30"/>
      <c r="L36" s="15"/>
      <c r="M36" s="16"/>
      <c r="N36" s="16"/>
      <c r="O36" s="16"/>
      <c r="P36" s="16"/>
      <c r="Q36" s="39">
        <f t="shared" si="3"/>
        <v>2940</v>
      </c>
      <c r="R36" s="16"/>
      <c r="S36" s="16"/>
      <c r="U36" s="3"/>
    </row>
    <row r="37" spans="1:21" x14ac:dyDescent="0.25">
      <c r="A37" s="1">
        <f ca="1">IF(B37&gt;0,SUM(MAX($A$10:A36),1),0)</f>
        <v>18</v>
      </c>
      <c r="B37" s="26">
        <f>B36+1</f>
        <v>6</v>
      </c>
      <c r="C37" s="27" t="s">
        <v>78</v>
      </c>
      <c r="D37" s="26" t="s">
        <v>523</v>
      </c>
      <c r="E37" s="26" t="s">
        <v>80</v>
      </c>
      <c r="F37" s="26">
        <v>1</v>
      </c>
      <c r="G37" s="28">
        <v>980</v>
      </c>
      <c r="H37" s="29" t="str">
        <f t="shared" si="2"/>
        <v>nhỏ</v>
      </c>
      <c r="I37" s="28">
        <v>40</v>
      </c>
      <c r="J37" s="29"/>
      <c r="K37" s="30"/>
      <c r="L37" s="15"/>
      <c r="M37" s="16"/>
      <c r="N37" s="16"/>
      <c r="O37" s="16"/>
      <c r="P37" s="16"/>
      <c r="Q37" s="39">
        <f t="shared" si="3"/>
        <v>980</v>
      </c>
      <c r="R37" s="16"/>
      <c r="S37" s="16"/>
      <c r="U37" s="3"/>
    </row>
    <row r="38" spans="1:21" s="2" customFormat="1" x14ac:dyDescent="0.25">
      <c r="A38" s="1">
        <f>IF(B38&gt;0,SUM(MAX($A$10:A101),1),0)</f>
        <v>0</v>
      </c>
      <c r="B38" s="42"/>
      <c r="C38" s="20" t="s">
        <v>34</v>
      </c>
      <c r="D38" s="19" t="str">
        <f>CONCATENATE(COUNT(B38:B47)," trạm")</f>
        <v>7 trạm</v>
      </c>
      <c r="E38" s="19"/>
      <c r="F38" s="17">
        <f>SUM(F39:F47)</f>
        <v>61</v>
      </c>
      <c r="G38" s="31"/>
      <c r="H38" s="21"/>
      <c r="I38" s="21"/>
      <c r="J38" s="21"/>
      <c r="K38" s="22"/>
      <c r="L38" s="25">
        <f>COUNTIF(H39:H47,"lớn")</f>
        <v>0</v>
      </c>
      <c r="M38" s="25">
        <f>COUNTIF(H39:H47,"vừa")</f>
        <v>7</v>
      </c>
      <c r="N38" s="25">
        <f>COUNTIF(H39:H47,"nhỏ")</f>
        <v>0</v>
      </c>
      <c r="O38" s="24"/>
      <c r="P38" s="24"/>
      <c r="Q38" s="23" t="e">
        <f>SUM(Q39:Q47)</f>
        <v>#REF!</v>
      </c>
      <c r="R38" s="24"/>
      <c r="S38" s="24"/>
    </row>
    <row r="39" spans="1:21" ht="20.25" customHeight="1" x14ac:dyDescent="0.25">
      <c r="A39" s="1">
        <f ca="1">IF(B39&gt;0,SUM(MAX($A$10:A38),1),0)</f>
        <v>20</v>
      </c>
      <c r="B39" s="109">
        <f>B37+1</f>
        <v>7</v>
      </c>
      <c r="C39" s="27" t="s">
        <v>84</v>
      </c>
      <c r="D39" s="26" t="s">
        <v>521</v>
      </c>
      <c r="E39" s="30" t="s">
        <v>26</v>
      </c>
      <c r="F39" s="26">
        <v>5</v>
      </c>
      <c r="G39" s="28">
        <v>3700</v>
      </c>
      <c r="H39" s="29" t="str">
        <f t="shared" ref="H39:H47" si="4">IF(AND(Q39&lt;3600,Q39&gt;0),"nhỏ",IF(AND(Q39&gt;=3600,Q39&lt;72000),"vừa",IF(Q39&lt;&gt;0,"lớn",0)))</f>
        <v>vừa</v>
      </c>
      <c r="I39" s="29"/>
      <c r="J39" s="28">
        <v>474</v>
      </c>
      <c r="K39" s="31" t="s">
        <v>86</v>
      </c>
      <c r="L39" s="15"/>
      <c r="M39" s="16"/>
      <c r="N39" s="16"/>
      <c r="O39" s="16"/>
      <c r="P39" s="16"/>
      <c r="Q39" s="15">
        <f>F39*G39</f>
        <v>18500</v>
      </c>
      <c r="R39" s="16"/>
      <c r="S39" s="16"/>
    </row>
    <row r="40" spans="1:21" ht="20.25" customHeight="1" x14ac:dyDescent="0.25">
      <c r="A40" s="1">
        <f ca="1">IF(B40&gt;0,SUM(MAX($A$10:A42),1),0)</f>
        <v>0</v>
      </c>
      <c r="B40" s="109">
        <f t="shared" ref="B40:B47" si="5">B39+1</f>
        <v>8</v>
      </c>
      <c r="C40" s="27" t="s">
        <v>92</v>
      </c>
      <c r="D40" s="26" t="s">
        <v>521</v>
      </c>
      <c r="E40" s="30" t="s">
        <v>26</v>
      </c>
      <c r="F40" s="26">
        <v>3</v>
      </c>
      <c r="G40" s="28">
        <v>2500</v>
      </c>
      <c r="H40" s="29" t="str">
        <f>IF(AND(Q40&lt;3600,Q40&gt;0),"nhỏ",IF(AND(Q40&gt;=3600,Q40&lt;72000),"vừa",IF(Q40&lt;&gt;0,"lớn",0)))</f>
        <v>vừa</v>
      </c>
      <c r="I40" s="29"/>
      <c r="J40" s="28">
        <v>300</v>
      </c>
      <c r="K40" s="31" t="s">
        <v>93</v>
      </c>
      <c r="L40" s="15"/>
      <c r="M40" s="16"/>
      <c r="N40" s="16"/>
      <c r="O40" s="16"/>
      <c r="P40" s="16"/>
      <c r="Q40" s="15">
        <f>F40*G40</f>
        <v>7500</v>
      </c>
      <c r="R40" s="16"/>
      <c r="S40" s="16"/>
    </row>
    <row r="41" spans="1:21" ht="20.25" customHeight="1" x14ac:dyDescent="0.25">
      <c r="B41" s="109">
        <f t="shared" si="5"/>
        <v>9</v>
      </c>
      <c r="C41" s="27" t="s">
        <v>90</v>
      </c>
      <c r="D41" s="26" t="s">
        <v>522</v>
      </c>
      <c r="E41" s="112"/>
      <c r="F41" s="26">
        <v>4</v>
      </c>
      <c r="G41" s="28">
        <v>4000</v>
      </c>
      <c r="H41" s="208" t="s">
        <v>103</v>
      </c>
      <c r="I41" s="28">
        <v>460</v>
      </c>
      <c r="J41" s="28">
        <v>460</v>
      </c>
      <c r="K41" s="31" t="s">
        <v>91</v>
      </c>
      <c r="L41" s="15"/>
      <c r="M41" s="16"/>
      <c r="N41" s="16"/>
      <c r="O41" s="16"/>
      <c r="P41" s="16"/>
      <c r="Q41" s="15"/>
      <c r="R41" s="16"/>
      <c r="S41" s="16"/>
      <c r="U41" s="3"/>
    </row>
    <row r="42" spans="1:21" ht="28.5" customHeight="1" x14ac:dyDescent="0.25">
      <c r="A42" s="1">
        <f ca="1">IF(B41&gt;0,SUM(MAX($A$10:A39),1),0)</f>
        <v>21</v>
      </c>
      <c r="B42" s="109"/>
      <c r="C42" s="27" t="s">
        <v>87</v>
      </c>
      <c r="D42" s="26" t="s">
        <v>522</v>
      </c>
      <c r="E42" s="112" t="s">
        <v>26</v>
      </c>
      <c r="F42" s="26">
        <v>4</v>
      </c>
      <c r="G42" s="28">
        <v>7300</v>
      </c>
      <c r="H42" s="209"/>
      <c r="I42" s="29"/>
      <c r="J42" s="43">
        <v>1010</v>
      </c>
      <c r="K42" s="31" t="s">
        <v>89</v>
      </c>
      <c r="L42" s="15"/>
      <c r="M42" s="16"/>
      <c r="N42" s="16"/>
      <c r="O42" s="16"/>
      <c r="P42" s="16"/>
      <c r="Q42" s="15" t="e">
        <f>F42*G42+#REF!*#REF!</f>
        <v>#REF!</v>
      </c>
      <c r="R42" s="16"/>
      <c r="S42" s="16"/>
    </row>
    <row r="43" spans="1:21" s="41" customFormat="1" x14ac:dyDescent="0.25">
      <c r="A43" s="1"/>
      <c r="B43" s="109">
        <f>B41+1</f>
        <v>10</v>
      </c>
      <c r="C43" s="27" t="s">
        <v>498</v>
      </c>
      <c r="D43" s="26" t="s">
        <v>522</v>
      </c>
      <c r="E43" s="30" t="s">
        <v>26</v>
      </c>
      <c r="F43" s="26">
        <v>10</v>
      </c>
      <c r="G43" s="28">
        <v>4000</v>
      </c>
      <c r="H43" s="29" t="str">
        <f>IF(AND(Q43&lt;3600,Q43&gt;0),"nhỏ",IF(AND(Q43&gt;=3600,Q43&lt;72000),"vừa",IF(Q43&lt;&gt;0,"lớn",0)))</f>
        <v>vừa</v>
      </c>
      <c r="I43" s="29"/>
      <c r="J43" s="28">
        <v>1440</v>
      </c>
      <c r="K43" s="31" t="s">
        <v>111</v>
      </c>
      <c r="L43" s="39"/>
      <c r="M43" s="40"/>
      <c r="N43" s="40"/>
      <c r="O43" s="40"/>
      <c r="P43" s="40"/>
      <c r="Q43" s="15">
        <f>F43*G43</f>
        <v>40000</v>
      </c>
      <c r="R43" s="40"/>
      <c r="S43" s="40"/>
      <c r="U43" s="106"/>
    </row>
    <row r="44" spans="1:21" s="41" customFormat="1" x14ac:dyDescent="0.25">
      <c r="A44" s="1"/>
      <c r="B44" s="109">
        <f t="shared" si="5"/>
        <v>11</v>
      </c>
      <c r="C44" s="27" t="s">
        <v>496</v>
      </c>
      <c r="D44" s="26" t="s">
        <v>522</v>
      </c>
      <c r="E44" s="206" t="s">
        <v>26</v>
      </c>
      <c r="F44" s="26">
        <v>7</v>
      </c>
      <c r="G44" s="28">
        <v>8400</v>
      </c>
      <c r="H44" s="208" t="s">
        <v>103</v>
      </c>
      <c r="I44" s="29"/>
      <c r="J44" s="28">
        <v>2319</v>
      </c>
      <c r="K44" s="31" t="s">
        <v>104</v>
      </c>
      <c r="L44" s="39"/>
      <c r="M44" s="40"/>
      <c r="N44" s="40"/>
      <c r="O44" s="40"/>
      <c r="P44" s="40"/>
      <c r="Q44" s="15">
        <f>F44*G44+F45*G45</f>
        <v>98800</v>
      </c>
      <c r="R44" s="40"/>
      <c r="S44" s="40"/>
      <c r="U44" s="106"/>
    </row>
    <row r="45" spans="1:21" s="41" customFormat="1" x14ac:dyDescent="0.25">
      <c r="A45" s="1"/>
      <c r="B45" s="109"/>
      <c r="C45" s="27" t="s">
        <v>497</v>
      </c>
      <c r="D45" s="26" t="s">
        <v>522</v>
      </c>
      <c r="E45" s="207"/>
      <c r="F45" s="26">
        <v>10</v>
      </c>
      <c r="G45" s="28">
        <v>4000</v>
      </c>
      <c r="H45" s="209"/>
      <c r="I45" s="28">
        <v>1315</v>
      </c>
      <c r="J45" s="28">
        <v>1315</v>
      </c>
      <c r="K45" s="31" t="s">
        <v>106</v>
      </c>
      <c r="L45" s="39"/>
      <c r="M45" s="40"/>
      <c r="N45" s="40"/>
      <c r="O45" s="40"/>
      <c r="P45" s="40"/>
      <c r="Q45" s="39"/>
      <c r="R45" s="40"/>
      <c r="S45" s="40"/>
    </row>
    <row r="46" spans="1:21" x14ac:dyDescent="0.25">
      <c r="A46" s="1">
        <f ca="1">IF(B46&gt;0,SUM(MAX($A$10:A42),1),0)</f>
        <v>24</v>
      </c>
      <c r="B46" s="109">
        <f>B44+1</f>
        <v>12</v>
      </c>
      <c r="C46" s="27" t="s">
        <v>97</v>
      </c>
      <c r="D46" s="26" t="s">
        <v>522</v>
      </c>
      <c r="E46" s="30" t="s">
        <v>26</v>
      </c>
      <c r="F46" s="26">
        <v>12</v>
      </c>
      <c r="G46" s="28">
        <v>4000</v>
      </c>
      <c r="H46" s="29" t="str">
        <f t="shared" si="4"/>
        <v>vừa</v>
      </c>
      <c r="I46" s="29"/>
      <c r="J46" s="28">
        <v>1750</v>
      </c>
      <c r="K46" s="31" t="s">
        <v>99</v>
      </c>
      <c r="L46" s="15"/>
      <c r="M46" s="16"/>
      <c r="N46" s="16"/>
      <c r="O46" s="16"/>
      <c r="P46" s="16"/>
      <c r="Q46" s="15">
        <f>F46*G46</f>
        <v>48000</v>
      </c>
      <c r="R46" s="16"/>
      <c r="S46" s="16"/>
    </row>
    <row r="47" spans="1:21" s="41" customFormat="1" x14ac:dyDescent="0.25">
      <c r="A47" s="1"/>
      <c r="B47" s="109">
        <f t="shared" si="5"/>
        <v>13</v>
      </c>
      <c r="C47" s="27" t="s">
        <v>108</v>
      </c>
      <c r="D47" s="26" t="s">
        <v>525</v>
      </c>
      <c r="E47" s="30" t="s">
        <v>109</v>
      </c>
      <c r="F47" s="26">
        <v>6</v>
      </c>
      <c r="G47" s="28">
        <v>980</v>
      </c>
      <c r="H47" s="29" t="str">
        <f t="shared" si="4"/>
        <v>vừa</v>
      </c>
      <c r="I47" s="29"/>
      <c r="J47" s="28">
        <v>60</v>
      </c>
      <c r="K47" s="26"/>
      <c r="L47" s="39"/>
      <c r="M47" s="40"/>
      <c r="N47" s="40"/>
      <c r="O47" s="40"/>
      <c r="P47" s="40"/>
      <c r="Q47" s="15">
        <f>F47*G47</f>
        <v>5880</v>
      </c>
      <c r="R47" s="40"/>
      <c r="S47" s="40"/>
    </row>
    <row r="48" spans="1:21" s="2" customFormat="1" x14ac:dyDescent="0.25">
      <c r="A48" s="1">
        <f>IF(B48&gt;0,SUM(MAX($A$10:A47),1),0)</f>
        <v>0</v>
      </c>
      <c r="B48" s="42"/>
      <c r="C48" s="20" t="s">
        <v>112</v>
      </c>
      <c r="D48" s="19" t="str">
        <f>CONCATENATE(COUNT(B48:B77)," trạm")</f>
        <v>13 trạm</v>
      </c>
      <c r="E48" s="19"/>
      <c r="F48" s="17">
        <f>SUM(F49:F77)</f>
        <v>76</v>
      </c>
      <c r="G48" s="31"/>
      <c r="H48" s="21"/>
      <c r="I48" s="21"/>
      <c r="J48" s="21"/>
      <c r="K48" s="22"/>
      <c r="L48" s="25">
        <f>COUNTIF(H70:H77,"lớn")</f>
        <v>0</v>
      </c>
      <c r="M48" s="25">
        <f>COUNTIF(H70:H77,"vừa")</f>
        <v>4</v>
      </c>
      <c r="N48" s="25">
        <f>COUNTIF(H70:H77,"nhỏ")</f>
        <v>0</v>
      </c>
      <c r="O48" s="24"/>
      <c r="P48" s="24"/>
      <c r="Q48" s="23">
        <f>SUM(Q70:Q77)</f>
        <v>38960</v>
      </c>
      <c r="R48" s="24"/>
      <c r="S48" s="24"/>
    </row>
    <row r="49" spans="1:21" x14ac:dyDescent="0.25">
      <c r="A49" s="1">
        <f ca="1">IF(B49&gt;0,SUM(MAX($A$10:A77),1),0)</f>
        <v>39</v>
      </c>
      <c r="B49" s="202">
        <f>B47+1</f>
        <v>14</v>
      </c>
      <c r="C49" s="204" t="s">
        <v>144</v>
      </c>
      <c r="D49" s="202" t="s">
        <v>521</v>
      </c>
      <c r="E49" s="206" t="s">
        <v>26</v>
      </c>
      <c r="F49" s="26">
        <v>1</v>
      </c>
      <c r="G49" s="28">
        <v>980</v>
      </c>
      <c r="H49" s="208" t="str">
        <f>IF(AND(Q49&lt;3600,Q49&gt;0),"nhỏ",IF(AND(Q49&gt;=3600,Q49&lt;72000),"vừa",IF(Q49&lt;&gt;0,"lớn",0)))</f>
        <v>nhỏ</v>
      </c>
      <c r="I49" s="208"/>
      <c r="J49" s="208"/>
      <c r="K49" s="212" t="s">
        <v>74</v>
      </c>
      <c r="L49" s="15"/>
      <c r="M49" s="16"/>
      <c r="N49" s="16"/>
      <c r="O49" s="16"/>
      <c r="P49" s="16"/>
      <c r="Q49" s="15">
        <f>F49*G49+F50*G50</f>
        <v>2480</v>
      </c>
      <c r="R49" s="16"/>
      <c r="S49" s="16"/>
    </row>
    <row r="50" spans="1:21" x14ac:dyDescent="0.25">
      <c r="A50" s="1">
        <f>IF(B50&gt;0,SUM(MAX($A$10:A49),1),0)</f>
        <v>0</v>
      </c>
      <c r="B50" s="203"/>
      <c r="C50" s="205"/>
      <c r="D50" s="203"/>
      <c r="E50" s="207"/>
      <c r="F50" s="26">
        <v>1</v>
      </c>
      <c r="G50" s="28">
        <v>1500</v>
      </c>
      <c r="H50" s="209"/>
      <c r="I50" s="209"/>
      <c r="J50" s="209"/>
      <c r="K50" s="213"/>
      <c r="L50" s="15"/>
      <c r="M50" s="16"/>
      <c r="N50" s="16"/>
      <c r="O50" s="16"/>
      <c r="P50" s="16"/>
      <c r="Q50" s="15"/>
      <c r="R50" s="16"/>
      <c r="S50" s="16"/>
      <c r="U50" s="3"/>
    </row>
    <row r="51" spans="1:21" x14ac:dyDescent="0.25">
      <c r="A51" s="1">
        <f ca="1">IF(B51&gt;0,SUM(MAX($A$10:A73),1),0)</f>
        <v>28</v>
      </c>
      <c r="B51" s="202">
        <f>B49+1</f>
        <v>15</v>
      </c>
      <c r="C51" s="204" t="s">
        <v>117</v>
      </c>
      <c r="D51" s="202" t="s">
        <v>521</v>
      </c>
      <c r="E51" s="206" t="s">
        <v>26</v>
      </c>
      <c r="F51" s="26">
        <v>3</v>
      </c>
      <c r="G51" s="28">
        <v>980</v>
      </c>
      <c r="H51" s="208" t="str">
        <f>IF(AND(Q51&lt;3600,Q51&gt;0),"nhỏ",IF(AND(Q51&gt;=3600,Q51&lt;72000),"vừa",IF(Q51&lt;&gt;0,"lớn",0)))</f>
        <v>vừa</v>
      </c>
      <c r="I51" s="212">
        <v>171</v>
      </c>
      <c r="J51" s="212">
        <v>171</v>
      </c>
      <c r="K51" s="200" t="s">
        <v>119</v>
      </c>
      <c r="L51" s="15"/>
      <c r="M51" s="16"/>
      <c r="N51" s="16"/>
      <c r="O51" s="16"/>
      <c r="P51" s="16"/>
      <c r="Q51" s="15">
        <f>F51*G51+F52*G52</f>
        <v>4640</v>
      </c>
      <c r="R51" s="16"/>
      <c r="S51" s="16"/>
    </row>
    <row r="52" spans="1:21" x14ac:dyDescent="0.25">
      <c r="A52" s="1">
        <f>IF(B52&gt;0,SUM(MAX($A$10:A51),1),0)</f>
        <v>0</v>
      </c>
      <c r="B52" s="203"/>
      <c r="C52" s="205"/>
      <c r="D52" s="210"/>
      <c r="E52" s="217"/>
      <c r="F52" s="26">
        <v>1</v>
      </c>
      <c r="G52" s="28">
        <v>1700</v>
      </c>
      <c r="H52" s="211"/>
      <c r="I52" s="213"/>
      <c r="J52" s="213"/>
      <c r="K52" s="216"/>
      <c r="L52" s="15"/>
      <c r="M52" s="16"/>
      <c r="N52" s="16"/>
      <c r="O52" s="16"/>
      <c r="P52" s="16"/>
      <c r="Q52" s="15"/>
      <c r="R52" s="16"/>
      <c r="S52" s="16"/>
      <c r="U52" s="3"/>
    </row>
    <row r="53" spans="1:21" ht="19.5" customHeight="1" x14ac:dyDescent="0.25">
      <c r="A53" s="1">
        <f>IF(B53&gt;0,SUM(MAX($A$10:A52),1),0)</f>
        <v>0</v>
      </c>
      <c r="B53" s="110"/>
      <c r="C53" s="27" t="s">
        <v>120</v>
      </c>
      <c r="D53" s="203"/>
      <c r="E53" s="207"/>
      <c r="F53" s="26">
        <v>1</v>
      </c>
      <c r="G53" s="28">
        <v>980</v>
      </c>
      <c r="H53" s="209"/>
      <c r="I53" s="33"/>
      <c r="J53" s="33"/>
      <c r="K53" s="201"/>
      <c r="L53" s="15"/>
      <c r="M53" s="16"/>
      <c r="N53" s="16"/>
      <c r="O53" s="16"/>
      <c r="P53" s="16"/>
      <c r="Q53" s="15"/>
      <c r="R53" s="16"/>
      <c r="S53" s="16"/>
      <c r="U53" s="3"/>
    </row>
    <row r="54" spans="1:21" s="2" customFormat="1" x14ac:dyDescent="0.25">
      <c r="A54" s="1">
        <f ca="1">IF(B54&gt;0,SUM(MAX($A$10:A73),1),0)</f>
        <v>29</v>
      </c>
      <c r="B54" s="109">
        <f>B51+1</f>
        <v>16</v>
      </c>
      <c r="C54" s="27" t="s">
        <v>121</v>
      </c>
      <c r="D54" s="202" t="s">
        <v>521</v>
      </c>
      <c r="E54" s="206" t="s">
        <v>26</v>
      </c>
      <c r="F54" s="26">
        <v>5</v>
      </c>
      <c r="G54" s="28">
        <v>1500</v>
      </c>
      <c r="H54" s="208" t="str">
        <f>IF(AND(Q54&lt;3600,Q54&gt;0),"nhỏ",IF(AND(Q54&gt;=3600,Q54&lt;72000),"vừa",IF(Q54&lt;&gt;0,"lớn",0)))</f>
        <v>vừa</v>
      </c>
      <c r="I54" s="208"/>
      <c r="J54" s="208"/>
      <c r="K54" s="200" t="s">
        <v>122</v>
      </c>
      <c r="L54" s="23"/>
      <c r="M54" s="24"/>
      <c r="N54" s="24"/>
      <c r="O54" s="24"/>
      <c r="P54" s="24"/>
      <c r="Q54" s="15">
        <f>F54*G54+F55*G55</f>
        <v>9460</v>
      </c>
      <c r="R54" s="24"/>
      <c r="S54" s="24"/>
      <c r="U54" s="18"/>
    </row>
    <row r="55" spans="1:21" s="2" customFormat="1" ht="33" x14ac:dyDescent="0.25">
      <c r="A55" s="1">
        <f>IF(B55&gt;0,SUM(MAX($A$10:A54),1),0)</f>
        <v>0</v>
      </c>
      <c r="B55" s="109"/>
      <c r="C55" s="27" t="s">
        <v>123</v>
      </c>
      <c r="D55" s="203"/>
      <c r="E55" s="207"/>
      <c r="F55" s="26">
        <v>2</v>
      </c>
      <c r="G55" s="28">
        <v>980</v>
      </c>
      <c r="H55" s="209"/>
      <c r="I55" s="209"/>
      <c r="J55" s="209"/>
      <c r="K55" s="201"/>
      <c r="L55" s="23"/>
      <c r="M55" s="24"/>
      <c r="N55" s="24"/>
      <c r="O55" s="24"/>
      <c r="P55" s="24"/>
      <c r="Q55" s="23"/>
      <c r="R55" s="24"/>
      <c r="S55" s="24"/>
    </row>
    <row r="56" spans="1:21" s="2" customFormat="1" x14ac:dyDescent="0.25">
      <c r="A56" s="1">
        <f ca="1">IF(B56&gt;0,SUM(MAX($A$10:A73),1),0)</f>
        <v>32</v>
      </c>
      <c r="B56" s="109">
        <f>B54+1</f>
        <v>17</v>
      </c>
      <c r="C56" s="27" t="s">
        <v>128</v>
      </c>
      <c r="D56" s="202" t="s">
        <v>522</v>
      </c>
      <c r="E56" s="206" t="s">
        <v>26</v>
      </c>
      <c r="F56" s="26">
        <v>4</v>
      </c>
      <c r="G56" s="28">
        <v>980</v>
      </c>
      <c r="H56" s="208" t="str">
        <f>IF(AND(Q56&lt;3600,Q56&gt;0),"nhỏ",IF(AND(Q56&gt;=3600,Q56&lt;72000),"vừa",IF(Q56&lt;&gt;0,"lớn",0)))</f>
        <v>vừa</v>
      </c>
      <c r="I56" s="28">
        <v>171</v>
      </c>
      <c r="J56" s="28">
        <v>171</v>
      </c>
      <c r="K56" s="200" t="s">
        <v>129</v>
      </c>
      <c r="L56" s="23"/>
      <c r="M56" s="24"/>
      <c r="N56" s="24"/>
      <c r="O56" s="24"/>
      <c r="P56" s="24"/>
      <c r="Q56" s="15">
        <f>F56*G56+F57*G57</f>
        <v>5880</v>
      </c>
      <c r="R56" s="24"/>
      <c r="S56" s="24"/>
      <c r="U56" s="18"/>
    </row>
    <row r="57" spans="1:21" s="2" customFormat="1" x14ac:dyDescent="0.25">
      <c r="A57" s="1">
        <f>IF(B57&gt;0,SUM(MAX($A$10:A56),1),0)</f>
        <v>0</v>
      </c>
      <c r="B57" s="109"/>
      <c r="C57" s="27" t="s">
        <v>130</v>
      </c>
      <c r="D57" s="203"/>
      <c r="E57" s="207"/>
      <c r="F57" s="26">
        <v>2</v>
      </c>
      <c r="G57" s="28">
        <v>980</v>
      </c>
      <c r="H57" s="209"/>
      <c r="I57" s="33"/>
      <c r="J57" s="33"/>
      <c r="K57" s="201"/>
      <c r="L57" s="23"/>
      <c r="M57" s="24"/>
      <c r="N57" s="24"/>
      <c r="O57" s="24"/>
      <c r="P57" s="24"/>
      <c r="Q57" s="23"/>
      <c r="R57" s="24"/>
      <c r="S57" s="24"/>
    </row>
    <row r="58" spans="1:21" s="2" customFormat="1" x14ac:dyDescent="0.25">
      <c r="A58" s="1">
        <f ca="1">IF(B58&gt;0,SUM(MAX($A$10:A73),1),0)</f>
        <v>30</v>
      </c>
      <c r="B58" s="202">
        <f>B56+1</f>
        <v>18</v>
      </c>
      <c r="C58" s="204" t="s">
        <v>499</v>
      </c>
      <c r="D58" s="202" t="s">
        <v>522</v>
      </c>
      <c r="E58" s="206" t="s">
        <v>26</v>
      </c>
      <c r="F58" s="26">
        <v>5</v>
      </c>
      <c r="G58" s="28">
        <v>980</v>
      </c>
      <c r="H58" s="29" t="str">
        <f>IF(AND(Q58&lt;3600,Q58&gt;0),"nhỏ",IF(AND(Q58&gt;=3600,Q58&lt;72000),"vừa",IF(Q58&lt;&gt;0,"lớn",0)))</f>
        <v>vừa</v>
      </c>
      <c r="I58" s="212">
        <v>211</v>
      </c>
      <c r="J58" s="212">
        <v>211</v>
      </c>
      <c r="K58" s="200" t="s">
        <v>125</v>
      </c>
      <c r="L58" s="23"/>
      <c r="M58" s="24"/>
      <c r="N58" s="24"/>
      <c r="O58" s="24"/>
      <c r="P58" s="24"/>
      <c r="Q58" s="15">
        <f>F58*G58+F59*G59</f>
        <v>6400</v>
      </c>
      <c r="R58" s="24"/>
      <c r="S58" s="24"/>
      <c r="U58" s="18"/>
    </row>
    <row r="59" spans="1:21" s="48" customFormat="1" x14ac:dyDescent="0.25">
      <c r="A59" s="1">
        <f>IF(B59&gt;0,SUM(MAX($A$10:A58),1),0)</f>
        <v>0</v>
      </c>
      <c r="B59" s="203"/>
      <c r="C59" s="205"/>
      <c r="D59" s="203"/>
      <c r="E59" s="207"/>
      <c r="F59" s="26">
        <v>1</v>
      </c>
      <c r="G59" s="28">
        <v>1500</v>
      </c>
      <c r="H59" s="33"/>
      <c r="I59" s="213"/>
      <c r="J59" s="213"/>
      <c r="K59" s="201"/>
      <c r="L59" s="46"/>
      <c r="M59" s="47"/>
      <c r="N59" s="47"/>
      <c r="O59" s="47"/>
      <c r="P59" s="47"/>
      <c r="Q59" s="46"/>
      <c r="R59" s="47"/>
      <c r="S59" s="47"/>
    </row>
    <row r="60" spans="1:21" s="2" customFormat="1" x14ac:dyDescent="0.25">
      <c r="A60" s="1">
        <f ca="1">IF(B60&gt;0,SUM(MAX($A$10:A59),1),0)</f>
        <v>31</v>
      </c>
      <c r="B60" s="202">
        <f>B58+1</f>
        <v>19</v>
      </c>
      <c r="C60" s="204" t="s">
        <v>500</v>
      </c>
      <c r="D60" s="202" t="s">
        <v>522</v>
      </c>
      <c r="E60" s="206" t="s">
        <v>26</v>
      </c>
      <c r="F60" s="26">
        <v>5</v>
      </c>
      <c r="G60" s="28">
        <v>980</v>
      </c>
      <c r="H60" s="208" t="str">
        <f>IF(AND(Q60&lt;3600,Q60&gt;0),"nhỏ",IF(AND(Q60&gt;=3600,Q60&lt;72000),"vừa",IF(Q60&lt;&gt;0,"lớn",0)))</f>
        <v>vừa</v>
      </c>
      <c r="I60" s="212">
        <v>287</v>
      </c>
      <c r="J60" s="212">
        <v>287</v>
      </c>
      <c r="K60" s="212" t="s">
        <v>127</v>
      </c>
      <c r="L60" s="23"/>
      <c r="M60" s="24"/>
      <c r="N60" s="24"/>
      <c r="O60" s="24"/>
      <c r="P60" s="24"/>
      <c r="Q60" s="15">
        <f>F60*G60+F61*G61</f>
        <v>6400</v>
      </c>
      <c r="R60" s="24"/>
      <c r="S60" s="24"/>
      <c r="U60" s="18"/>
    </row>
    <row r="61" spans="1:21" s="2" customFormat="1" x14ac:dyDescent="0.25">
      <c r="A61" s="1">
        <f>IF(B61&gt;0,SUM(MAX($A$10:A60),1),0)</f>
        <v>0</v>
      </c>
      <c r="B61" s="203"/>
      <c r="C61" s="205"/>
      <c r="D61" s="203"/>
      <c r="E61" s="207"/>
      <c r="F61" s="26">
        <v>1</v>
      </c>
      <c r="G61" s="28">
        <v>1500</v>
      </c>
      <c r="H61" s="209"/>
      <c r="I61" s="213"/>
      <c r="J61" s="213"/>
      <c r="K61" s="213"/>
      <c r="L61" s="23"/>
      <c r="M61" s="24"/>
      <c r="N61" s="24"/>
      <c r="O61" s="24"/>
      <c r="P61" s="24"/>
      <c r="Q61" s="23"/>
      <c r="R61" s="24"/>
      <c r="S61" s="24"/>
    </row>
    <row r="62" spans="1:21" s="2" customFormat="1" x14ac:dyDescent="0.25">
      <c r="A62" s="1">
        <f ca="1">IF(B62&gt;0,SUM(MAX($A$10:A73),1),0)</f>
        <v>33</v>
      </c>
      <c r="B62" s="202">
        <f>B60+1</f>
        <v>20</v>
      </c>
      <c r="C62" s="204" t="s">
        <v>131</v>
      </c>
      <c r="D62" s="202" t="s">
        <v>522</v>
      </c>
      <c r="E62" s="206" t="s">
        <v>26</v>
      </c>
      <c r="F62" s="26">
        <v>7</v>
      </c>
      <c r="G62" s="28">
        <v>1500</v>
      </c>
      <c r="H62" s="208" t="str">
        <f>IF(AND(Q62&lt;3600,Q62&gt;0),"nhỏ",IF(AND(Q62&gt;=3600,Q62&lt;72000),"vừa",IF(Q62&lt;&gt;0,"lớn",0)))</f>
        <v>vừa</v>
      </c>
      <c r="I62" s="212">
        <v>430</v>
      </c>
      <c r="J62" s="212">
        <v>430</v>
      </c>
      <c r="K62" s="200" t="s">
        <v>132</v>
      </c>
      <c r="L62" s="23"/>
      <c r="M62" s="24"/>
      <c r="N62" s="24"/>
      <c r="O62" s="24"/>
      <c r="P62" s="24"/>
      <c r="Q62" s="15">
        <f>F62*G62+F63*G63</f>
        <v>12460</v>
      </c>
      <c r="R62" s="24"/>
      <c r="S62" s="24"/>
      <c r="U62" s="18"/>
    </row>
    <row r="63" spans="1:21" x14ac:dyDescent="0.25">
      <c r="A63" s="1">
        <f>IF(B63&gt;0,SUM(MAX($A$10:A62),1),0)</f>
        <v>0</v>
      </c>
      <c r="B63" s="203"/>
      <c r="C63" s="205"/>
      <c r="D63" s="203"/>
      <c r="E63" s="207"/>
      <c r="F63" s="26">
        <v>2</v>
      </c>
      <c r="G63" s="28">
        <v>980</v>
      </c>
      <c r="H63" s="209"/>
      <c r="I63" s="213"/>
      <c r="J63" s="213"/>
      <c r="K63" s="201"/>
      <c r="L63" s="15"/>
      <c r="M63" s="16"/>
      <c r="N63" s="16"/>
      <c r="O63" s="16"/>
      <c r="P63" s="16"/>
      <c r="Q63" s="15"/>
      <c r="R63" s="16"/>
      <c r="S63" s="16"/>
      <c r="U63" s="3"/>
    </row>
    <row r="64" spans="1:21" x14ac:dyDescent="0.25">
      <c r="A64" s="1">
        <f ca="1">IF(B64&gt;0,SUM(MAX($A$10:A73),1),0)</f>
        <v>34</v>
      </c>
      <c r="B64" s="202">
        <f>B62+1</f>
        <v>21</v>
      </c>
      <c r="C64" s="204" t="s">
        <v>501</v>
      </c>
      <c r="D64" s="202" t="s">
        <v>522</v>
      </c>
      <c r="E64" s="206" t="s">
        <v>26</v>
      </c>
      <c r="F64" s="26">
        <v>3</v>
      </c>
      <c r="G64" s="28">
        <v>1950</v>
      </c>
      <c r="H64" s="208" t="str">
        <f t="shared" ref="H64" si="6">IF(AND(Q64&lt;3600,Q64&gt;0),"nhỏ",IF(AND(Q64&gt;=3600,Q64&lt;72000),"vừa",IF(Q64&lt;&gt;0,"lớn",0)))</f>
        <v>vừa</v>
      </c>
      <c r="I64" s="212">
        <v>72</v>
      </c>
      <c r="J64" s="212">
        <v>72</v>
      </c>
      <c r="K64" s="212" t="s">
        <v>135</v>
      </c>
      <c r="L64" s="15"/>
      <c r="M64" s="16"/>
      <c r="N64" s="16"/>
      <c r="O64" s="16"/>
      <c r="P64" s="16"/>
      <c r="Q64" s="15">
        <f>F64*G64+F65*G65+F66*G66</f>
        <v>9770</v>
      </c>
      <c r="R64" s="16"/>
      <c r="S64" s="16"/>
    </row>
    <row r="65" spans="1:33" x14ac:dyDescent="0.25">
      <c r="A65" s="1">
        <f>IF(B65&gt;0,SUM(MAX($A$10:A64),1),0)</f>
        <v>0</v>
      </c>
      <c r="B65" s="203"/>
      <c r="C65" s="205"/>
      <c r="D65" s="210"/>
      <c r="E65" s="217"/>
      <c r="F65" s="26">
        <v>2</v>
      </c>
      <c r="G65" s="28">
        <v>980</v>
      </c>
      <c r="H65" s="211"/>
      <c r="I65" s="218"/>
      <c r="J65" s="218"/>
      <c r="K65" s="218"/>
      <c r="L65" s="15"/>
      <c r="M65" s="16"/>
      <c r="N65" s="16"/>
      <c r="O65" s="16"/>
      <c r="P65" s="16"/>
      <c r="Q65" s="15"/>
      <c r="R65" s="16"/>
      <c r="S65" s="16"/>
      <c r="U65" s="3"/>
    </row>
    <row r="66" spans="1:33" x14ac:dyDescent="0.25">
      <c r="A66" s="1">
        <f>IF(B66&gt;0,SUM(MAX($A$10:A65),1),0)</f>
        <v>0</v>
      </c>
      <c r="B66" s="109"/>
      <c r="C66" s="27" t="s">
        <v>136</v>
      </c>
      <c r="D66" s="203"/>
      <c r="E66" s="217"/>
      <c r="F66" s="26">
        <v>2</v>
      </c>
      <c r="G66" s="28">
        <v>980</v>
      </c>
      <c r="H66" s="209"/>
      <c r="I66" s="213"/>
      <c r="J66" s="213"/>
      <c r="K66" s="213"/>
      <c r="L66" s="15"/>
      <c r="M66" s="16"/>
      <c r="N66" s="16"/>
      <c r="O66" s="16"/>
      <c r="P66" s="16"/>
      <c r="Q66" s="15"/>
      <c r="R66" s="16"/>
      <c r="S66" s="16"/>
      <c r="U66" s="3"/>
    </row>
    <row r="67" spans="1:33" x14ac:dyDescent="0.25">
      <c r="A67" s="1">
        <f ca="1">IF(B67&gt;0,SUM(MAX($A$10:A77),1),0)</f>
        <v>38</v>
      </c>
      <c r="B67" s="202">
        <f>B64+1</f>
        <v>22</v>
      </c>
      <c r="C67" s="204" t="s">
        <v>141</v>
      </c>
      <c r="D67" s="202" t="s">
        <v>522</v>
      </c>
      <c r="E67" s="206" t="s">
        <v>26</v>
      </c>
      <c r="F67" s="26">
        <v>4</v>
      </c>
      <c r="G67" s="28">
        <v>980</v>
      </c>
      <c r="H67" s="208" t="str">
        <f>IF(AND(Q67&lt;3600,Q67&gt;0),"nhỏ",IF(AND(Q67&gt;=3600,Q67&lt;72000),"vừa",IF(Q67&lt;&gt;0,"lớn",0)))</f>
        <v>vừa</v>
      </c>
      <c r="I67" s="212">
        <v>96</v>
      </c>
      <c r="J67" s="212">
        <v>96</v>
      </c>
      <c r="K67" s="212" t="s">
        <v>142</v>
      </c>
      <c r="L67" s="15"/>
      <c r="M67" s="16"/>
      <c r="N67" s="16"/>
      <c r="O67" s="16"/>
      <c r="P67" s="16"/>
      <c r="Q67" s="15">
        <f>F67*G67+F68*G68+F69*G69</f>
        <v>6400</v>
      </c>
      <c r="R67" s="16"/>
      <c r="S67" s="16"/>
    </row>
    <row r="68" spans="1:33" x14ac:dyDescent="0.25">
      <c r="A68" s="1">
        <f>IF(B68&gt;0,SUM(MAX($A$10:A67),1),0)</f>
        <v>0</v>
      </c>
      <c r="B68" s="203"/>
      <c r="C68" s="205"/>
      <c r="D68" s="210"/>
      <c r="E68" s="217"/>
      <c r="F68" s="26">
        <v>1</v>
      </c>
      <c r="G68" s="28">
        <v>1500</v>
      </c>
      <c r="H68" s="211"/>
      <c r="I68" s="218"/>
      <c r="J68" s="218"/>
      <c r="K68" s="218"/>
      <c r="L68" s="15"/>
      <c r="M68" s="16"/>
      <c r="N68" s="16"/>
      <c r="O68" s="16"/>
      <c r="P68" s="16"/>
      <c r="Q68" s="15"/>
      <c r="R68" s="16"/>
      <c r="S68" s="16"/>
      <c r="U68" s="3"/>
    </row>
    <row r="69" spans="1:33" x14ac:dyDescent="0.25">
      <c r="A69" s="1">
        <f>IF(B69&gt;0,SUM(MAX($A$10:A68),1),0)</f>
        <v>0</v>
      </c>
      <c r="B69" s="109"/>
      <c r="C69" s="27" t="s">
        <v>143</v>
      </c>
      <c r="D69" s="203"/>
      <c r="E69" s="207"/>
      <c r="F69" s="26">
        <v>1</v>
      </c>
      <c r="G69" s="28">
        <v>980</v>
      </c>
      <c r="H69" s="209"/>
      <c r="I69" s="213"/>
      <c r="J69" s="213"/>
      <c r="K69" s="213"/>
      <c r="L69" s="15"/>
      <c r="M69" s="16"/>
      <c r="N69" s="16"/>
      <c r="O69" s="16"/>
      <c r="P69" s="16"/>
      <c r="Q69" s="15"/>
      <c r="R69" s="16"/>
      <c r="S69" s="16"/>
      <c r="U69" s="3"/>
    </row>
    <row r="70" spans="1:33" s="41" customFormat="1" x14ac:dyDescent="0.25">
      <c r="A70" s="1">
        <f ca="1">IF(B70&gt;0,SUM(MAX($A$10:A48),1),0)</f>
        <v>26</v>
      </c>
      <c r="B70" s="202">
        <f>B67+1</f>
        <v>23</v>
      </c>
      <c r="C70" s="204" t="s">
        <v>114</v>
      </c>
      <c r="D70" s="202" t="s">
        <v>521</v>
      </c>
      <c r="E70" s="202" t="s">
        <v>30</v>
      </c>
      <c r="F70" s="26">
        <v>2</v>
      </c>
      <c r="G70" s="28">
        <v>1700</v>
      </c>
      <c r="H70" s="208" t="str">
        <f>IF(AND(Q70&lt;3600,Q70&gt;0),"nhỏ",IF(AND(Q70&gt;=3600,Q70&lt;72000),"vừa",IF(Q70&lt;&gt;0,"lớn",0)))</f>
        <v>vừa</v>
      </c>
      <c r="I70" s="212">
        <v>157</v>
      </c>
      <c r="J70" s="212">
        <v>157</v>
      </c>
      <c r="K70" s="202"/>
      <c r="L70" s="39"/>
      <c r="M70" s="40"/>
      <c r="N70" s="40"/>
      <c r="O70" s="40"/>
      <c r="P70" s="40"/>
      <c r="Q70" s="15">
        <f>F70*G70+F71*G71</f>
        <v>5360</v>
      </c>
      <c r="R70" s="40"/>
      <c r="S70" s="40"/>
    </row>
    <row r="71" spans="1:33" s="41" customFormat="1" x14ac:dyDescent="0.25">
      <c r="A71" s="1">
        <f>IF(B71&gt;0,SUM(MAX($A$10:A70),1),0)</f>
        <v>0</v>
      </c>
      <c r="B71" s="203"/>
      <c r="C71" s="205"/>
      <c r="D71" s="203"/>
      <c r="E71" s="203"/>
      <c r="F71" s="26">
        <v>2</v>
      </c>
      <c r="G71" s="28">
        <v>980</v>
      </c>
      <c r="H71" s="209"/>
      <c r="I71" s="213"/>
      <c r="J71" s="213"/>
      <c r="K71" s="203"/>
      <c r="L71" s="39"/>
      <c r="M71" s="40"/>
      <c r="N71" s="40"/>
      <c r="O71" s="40"/>
      <c r="P71" s="40"/>
      <c r="Q71" s="39"/>
      <c r="R71" s="40"/>
      <c r="S71" s="40"/>
    </row>
    <row r="72" spans="1:33" s="41" customFormat="1" x14ac:dyDescent="0.25">
      <c r="A72" s="1">
        <f ca="1">IF(B72&gt;0,SUM(MAX($A$10:A71),1),0)</f>
        <v>27</v>
      </c>
      <c r="B72" s="202">
        <f>B70+1</f>
        <v>24</v>
      </c>
      <c r="C72" s="204" t="s">
        <v>116</v>
      </c>
      <c r="D72" s="202" t="s">
        <v>495</v>
      </c>
      <c r="E72" s="202" t="s">
        <v>30</v>
      </c>
      <c r="F72" s="26">
        <v>1</v>
      </c>
      <c r="G72" s="28">
        <v>1500</v>
      </c>
      <c r="H72" s="208" t="str">
        <f>IF(AND(Q72&lt;3600,Q72&gt;0),"nhỏ",IF(AND(Q72&gt;=3600,Q72&lt;72000),"vừa",IF(Q72&lt;&gt;0,"lớn",0)))</f>
        <v>vừa</v>
      </c>
      <c r="I72" s="212">
        <v>281</v>
      </c>
      <c r="J72" s="212">
        <v>281</v>
      </c>
      <c r="K72" s="202"/>
      <c r="L72" s="39"/>
      <c r="M72" s="40"/>
      <c r="N72" s="40"/>
      <c r="O72" s="40"/>
      <c r="P72" s="40"/>
      <c r="Q72" s="15">
        <f>F72*G72+F73*G73</f>
        <v>8360</v>
      </c>
      <c r="R72" s="40"/>
      <c r="S72" s="40"/>
    </row>
    <row r="73" spans="1:33" s="41" customFormat="1" x14ac:dyDescent="0.25">
      <c r="A73" s="1">
        <f>IF(B73&gt;0,SUM(MAX($A$10:A72),1),0)</f>
        <v>0</v>
      </c>
      <c r="B73" s="203"/>
      <c r="C73" s="205"/>
      <c r="D73" s="203"/>
      <c r="E73" s="203"/>
      <c r="F73" s="26">
        <v>7</v>
      </c>
      <c r="G73" s="28">
        <v>980</v>
      </c>
      <c r="H73" s="209"/>
      <c r="I73" s="213"/>
      <c r="J73" s="213"/>
      <c r="K73" s="203"/>
      <c r="L73" s="39"/>
      <c r="M73" s="40"/>
      <c r="N73" s="40"/>
      <c r="O73" s="40"/>
      <c r="P73" s="40"/>
      <c r="Q73" s="39"/>
      <c r="R73" s="40"/>
      <c r="S73" s="40"/>
    </row>
    <row r="74" spans="1:33" x14ac:dyDescent="0.25">
      <c r="A74" s="1">
        <f ca="1">IF(B74&gt;0,SUM(MAX($A$10:A188),1),0)</f>
        <v>36</v>
      </c>
      <c r="B74" s="202">
        <f>B72+1</f>
        <v>25</v>
      </c>
      <c r="C74" s="204" t="s">
        <v>138</v>
      </c>
      <c r="D74" s="202" t="s">
        <v>522</v>
      </c>
      <c r="E74" s="202" t="s">
        <v>139</v>
      </c>
      <c r="F74" s="26">
        <v>1</v>
      </c>
      <c r="G74" s="28">
        <v>1500</v>
      </c>
      <c r="H74" s="208" t="str">
        <f>IF(AND(Q74&lt;3600,Q74&gt;0),"nhỏ",IF(AND(Q74&gt;=3600,Q74&lt;72000),"vừa",IF(Q74&lt;&gt;0,"lớn",0)))</f>
        <v>vừa</v>
      </c>
      <c r="I74" s="212">
        <v>167</v>
      </c>
      <c r="J74" s="212">
        <v>167</v>
      </c>
      <c r="K74" s="206"/>
      <c r="L74" s="15"/>
      <c r="M74" s="16"/>
      <c r="N74" s="16"/>
      <c r="O74" s="16"/>
      <c r="P74" s="16"/>
      <c r="Q74" s="15">
        <f>F74*G74+F75*G75+F76*G76</f>
        <v>5240</v>
      </c>
      <c r="R74" s="16"/>
      <c r="S74" s="16"/>
      <c r="U74" s="3"/>
    </row>
    <row r="75" spans="1:33" x14ac:dyDescent="0.25">
      <c r="A75" s="1">
        <f>IF(B75&gt;0,SUM(MAX($A$10:A74),1),0)</f>
        <v>0</v>
      </c>
      <c r="B75" s="210"/>
      <c r="C75" s="219"/>
      <c r="D75" s="210"/>
      <c r="E75" s="210"/>
      <c r="F75" s="26">
        <v>3</v>
      </c>
      <c r="G75" s="28">
        <v>980</v>
      </c>
      <c r="H75" s="211"/>
      <c r="I75" s="218"/>
      <c r="J75" s="218"/>
      <c r="K75" s="217"/>
      <c r="L75" s="15"/>
      <c r="M75" s="16"/>
      <c r="N75" s="16"/>
      <c r="O75" s="16"/>
      <c r="P75" s="16"/>
      <c r="Q75" s="15"/>
      <c r="R75" s="16"/>
      <c r="S75" s="16"/>
      <c r="U75" s="3"/>
    </row>
    <row r="76" spans="1:33" x14ac:dyDescent="0.25">
      <c r="A76" s="1">
        <f>IF(B76&gt;0,SUM(MAX($A$10:A75),1),0)</f>
        <v>0</v>
      </c>
      <c r="B76" s="203"/>
      <c r="C76" s="205"/>
      <c r="D76" s="203"/>
      <c r="E76" s="203"/>
      <c r="F76" s="26">
        <v>1</v>
      </c>
      <c r="G76" s="28">
        <v>800</v>
      </c>
      <c r="H76" s="209"/>
      <c r="I76" s="213"/>
      <c r="J76" s="213"/>
      <c r="K76" s="207"/>
      <c r="L76" s="15"/>
      <c r="M76" s="16"/>
      <c r="N76" s="16"/>
      <c r="O76" s="16"/>
      <c r="P76" s="16"/>
      <c r="Q76" s="15"/>
      <c r="R76" s="16"/>
      <c r="S76" s="16"/>
      <c r="U76" s="3"/>
    </row>
    <row r="77" spans="1:33" s="2" customFormat="1" x14ac:dyDescent="0.25">
      <c r="A77" s="1">
        <f ca="1">IF(B77&gt;0,SUM(MAX($A$10:A76),1),0)</f>
        <v>37</v>
      </c>
      <c r="B77" s="26">
        <f>B74+1</f>
        <v>26</v>
      </c>
      <c r="C77" s="27" t="s">
        <v>140</v>
      </c>
      <c r="D77" s="26" t="s">
        <v>522</v>
      </c>
      <c r="E77" s="26" t="s">
        <v>139</v>
      </c>
      <c r="F77" s="26">
        <v>5</v>
      </c>
      <c r="G77" s="28">
        <v>4000</v>
      </c>
      <c r="H77" s="29" t="str">
        <f>IF(AND(Q77&lt;3600,Q77&gt;0),"nhỏ",IF(AND(Q77&gt;=3600,Q77&lt;72000),"vừa",IF(Q77&lt;&gt;0,"lớn",0)))</f>
        <v>vừa</v>
      </c>
      <c r="I77" s="28">
        <v>866</v>
      </c>
      <c r="J77" s="28">
        <v>866</v>
      </c>
      <c r="K77" s="22"/>
      <c r="L77" s="23"/>
      <c r="M77" s="24"/>
      <c r="N77" s="24"/>
      <c r="O77" s="24"/>
      <c r="P77" s="24"/>
      <c r="Q77" s="23">
        <f>F77*G77</f>
        <v>20000</v>
      </c>
      <c r="R77" s="24"/>
      <c r="S77" s="24"/>
    </row>
    <row r="78" spans="1:33" s="53" customFormat="1" x14ac:dyDescent="0.25">
      <c r="A78" s="1"/>
      <c r="B78" s="19" t="s">
        <v>145</v>
      </c>
      <c r="C78" s="20" t="s">
        <v>526</v>
      </c>
      <c r="D78" s="19" t="str">
        <f>CONCATENATE(COUNT(B78:B226)," trạm")</f>
        <v>101 trạm</v>
      </c>
      <c r="E78" s="19"/>
      <c r="F78" s="17">
        <f>+F79+F102+F119</f>
        <v>416</v>
      </c>
      <c r="G78" s="31"/>
      <c r="H78" s="49"/>
      <c r="I78" s="49"/>
      <c r="J78" s="49"/>
      <c r="K78" s="50"/>
      <c r="L78" s="51">
        <f>+L79+L102+L119</f>
        <v>1</v>
      </c>
      <c r="M78" s="51">
        <f>+M79+M102+M119</f>
        <v>50</v>
      </c>
      <c r="N78" s="51">
        <f>+N79+N102+N119</f>
        <v>27</v>
      </c>
      <c r="O78" s="52"/>
      <c r="P78" s="52"/>
      <c r="Q78" s="51">
        <f>+Q79+Q102+Q119</f>
        <v>637394</v>
      </c>
      <c r="R78" s="52"/>
      <c r="S78" s="52"/>
    </row>
    <row r="79" spans="1:33" s="53" customFormat="1" x14ac:dyDescent="0.25">
      <c r="A79" s="1">
        <f>IF(B79&gt;0,SUM(MAX($A$10:A78),1),0)</f>
        <v>0</v>
      </c>
      <c r="B79" s="19"/>
      <c r="C79" s="20" t="s">
        <v>20</v>
      </c>
      <c r="D79" s="19" t="str">
        <f>CONCATENATE(COUNT(B79:B102)," trạm")</f>
        <v>19 trạm</v>
      </c>
      <c r="E79" s="19"/>
      <c r="F79" s="17">
        <f>SUM(F80:F99)</f>
        <v>38</v>
      </c>
      <c r="G79" s="31"/>
      <c r="H79" s="49"/>
      <c r="I79" s="49"/>
      <c r="J79" s="49"/>
      <c r="K79" s="50"/>
      <c r="L79" s="25">
        <f>COUNTIF(H95:H99,"lớn")</f>
        <v>0</v>
      </c>
      <c r="M79" s="25">
        <f>COUNTIF(H95:H99,"vừa")</f>
        <v>0</v>
      </c>
      <c r="N79" s="25">
        <f>COUNTIF(H95:H99,"nhỏ")</f>
        <v>5</v>
      </c>
      <c r="O79" s="52"/>
      <c r="P79" s="52"/>
      <c r="Q79" s="51">
        <f>SUM(Q95:Q99)+AE81</f>
        <v>17754</v>
      </c>
      <c r="R79" s="52"/>
      <c r="S79" s="52"/>
    </row>
    <row r="80" spans="1:33" s="57" customFormat="1" ht="33" x14ac:dyDescent="0.25">
      <c r="A80" s="1">
        <f ca="1">IF(B80&gt;0,SUM(MAX($A$10:A98),1),0)</f>
        <v>47</v>
      </c>
      <c r="B80" s="103">
        <v>1</v>
      </c>
      <c r="C80" s="27" t="s">
        <v>166</v>
      </c>
      <c r="D80" s="26" t="s">
        <v>524</v>
      </c>
      <c r="E80" s="26" t="s">
        <v>37</v>
      </c>
      <c r="F80" s="26">
        <v>2</v>
      </c>
      <c r="G80" s="28">
        <v>3000</v>
      </c>
      <c r="H80" s="29" t="str">
        <f t="shared" ref="H80:H88" si="7">IF(AND(Q80&lt;3600,Q80&gt;0),"nhỏ",IF(AND(Q80&gt;=3600,Q80&lt;72000),"vừa",IF(Q80&lt;&gt;0,"lớn",0)))</f>
        <v>vừa</v>
      </c>
      <c r="I80" s="31"/>
      <c r="J80" s="31"/>
      <c r="K80" s="31" t="s">
        <v>168</v>
      </c>
      <c r="L80" s="55"/>
      <c r="M80" s="56"/>
      <c r="N80" s="56"/>
      <c r="O80" s="56"/>
      <c r="P80" s="56"/>
      <c r="Q80" s="55">
        <f t="shared" ref="Q80:Q87" si="8">F80*G80</f>
        <v>6000</v>
      </c>
      <c r="R80" s="56"/>
      <c r="S80" s="56"/>
      <c r="W80"/>
      <c r="X80"/>
      <c r="Y80"/>
      <c r="Z80"/>
      <c r="AA80"/>
      <c r="AB80"/>
      <c r="AC80"/>
      <c r="AD80"/>
      <c r="AE80"/>
      <c r="AF80"/>
      <c r="AG80"/>
    </row>
    <row r="81" spans="1:33" s="57" customFormat="1" ht="33" x14ac:dyDescent="0.25">
      <c r="A81" s="1">
        <f ca="1">IF(B81&gt;0,SUM(MAX($A$10:A80),1),0)</f>
        <v>48</v>
      </c>
      <c r="B81" s="26">
        <f t="shared" ref="B81:B88" si="9">B80+1</f>
        <v>2</v>
      </c>
      <c r="C81" s="27" t="s">
        <v>170</v>
      </c>
      <c r="D81" s="26" t="s">
        <v>524</v>
      </c>
      <c r="E81" s="26" t="s">
        <v>37</v>
      </c>
      <c r="F81" s="26">
        <v>4</v>
      </c>
      <c r="G81" s="28">
        <v>8110</v>
      </c>
      <c r="H81" s="29" t="str">
        <f t="shared" si="7"/>
        <v>vừa</v>
      </c>
      <c r="I81" s="58">
        <v>4668</v>
      </c>
      <c r="J81" s="31"/>
      <c r="K81" s="31" t="s">
        <v>171</v>
      </c>
      <c r="L81" s="55"/>
      <c r="M81" s="56"/>
      <c r="N81" s="56"/>
      <c r="O81" s="56"/>
      <c r="P81" s="56"/>
      <c r="Q81" s="55">
        <f t="shared" si="8"/>
        <v>32440</v>
      </c>
      <c r="R81" s="56"/>
      <c r="S81" s="56"/>
      <c r="W81" s="59"/>
      <c r="X81" s="59"/>
      <c r="Y81" s="59"/>
      <c r="Z81" s="59">
        <v>1</v>
      </c>
      <c r="AA81" s="59">
        <v>540</v>
      </c>
      <c r="AB81" s="59"/>
      <c r="AC81" s="59"/>
      <c r="AD81">
        <f>Z81*AA81</f>
        <v>540</v>
      </c>
      <c r="AE81">
        <f>SUM(AD81:AD98)</f>
        <v>11740</v>
      </c>
      <c r="AF81"/>
      <c r="AG81"/>
    </row>
    <row r="82" spans="1:33" ht="33" x14ac:dyDescent="0.25">
      <c r="A82" s="1">
        <f ca="1">IF(B82&gt;0,SUM(MAX($A$10:A99),1),0)</f>
        <v>56</v>
      </c>
      <c r="B82" s="26">
        <f t="shared" si="9"/>
        <v>3</v>
      </c>
      <c r="C82" s="27" t="s">
        <v>196</v>
      </c>
      <c r="D82" s="26" t="s">
        <v>157</v>
      </c>
      <c r="E82" s="26" t="s">
        <v>37</v>
      </c>
      <c r="F82" s="26">
        <v>5</v>
      </c>
      <c r="G82" s="28">
        <v>4000</v>
      </c>
      <c r="H82" s="29" t="str">
        <f t="shared" si="7"/>
        <v>vừa</v>
      </c>
      <c r="I82" s="28">
        <v>1780</v>
      </c>
      <c r="J82" s="31"/>
      <c r="K82" s="31" t="s">
        <v>198</v>
      </c>
      <c r="L82" s="15"/>
      <c r="M82" s="16"/>
      <c r="N82" s="16"/>
      <c r="O82" s="16"/>
      <c r="P82" s="16"/>
      <c r="Q82" s="55">
        <f t="shared" si="8"/>
        <v>20000</v>
      </c>
      <c r="R82" s="16"/>
      <c r="S82" s="16"/>
      <c r="U82" s="3"/>
      <c r="W82" s="59"/>
      <c r="X82" s="59"/>
      <c r="Y82" s="59"/>
      <c r="Z82" s="59">
        <v>3</v>
      </c>
      <c r="AA82" s="59">
        <v>800</v>
      </c>
      <c r="AB82" s="59"/>
      <c r="AC82" s="59"/>
      <c r="AD82">
        <f>Z82*AA82</f>
        <v>2400</v>
      </c>
      <c r="AE82"/>
      <c r="AF82"/>
      <c r="AG82"/>
    </row>
    <row r="83" spans="1:33" s="57" customFormat="1" x14ac:dyDescent="0.25">
      <c r="A83" s="1">
        <f ca="1">IF(B83&gt;0,SUM(MAX($A$10:A96),1),0)</f>
        <v>43</v>
      </c>
      <c r="B83" s="26">
        <f t="shared" si="9"/>
        <v>4</v>
      </c>
      <c r="C83" s="27" t="s">
        <v>154</v>
      </c>
      <c r="D83" s="26" t="s">
        <v>237</v>
      </c>
      <c r="E83" s="30" t="s">
        <v>26</v>
      </c>
      <c r="F83" s="26">
        <v>1</v>
      </c>
      <c r="G83" s="28">
        <v>980</v>
      </c>
      <c r="H83" s="29" t="str">
        <f t="shared" si="7"/>
        <v>nhỏ</v>
      </c>
      <c r="I83" s="28">
        <v>50</v>
      </c>
      <c r="J83" s="31"/>
      <c r="K83" s="31" t="s">
        <v>155</v>
      </c>
      <c r="L83" s="55"/>
      <c r="M83" s="56"/>
      <c r="N83" s="56"/>
      <c r="O83" s="56"/>
      <c r="P83" s="56"/>
      <c r="Q83" s="55">
        <f t="shared" si="8"/>
        <v>980</v>
      </c>
      <c r="R83" s="56"/>
      <c r="S83" s="56"/>
      <c r="U83" s="101"/>
    </row>
    <row r="84" spans="1:33" s="57" customFormat="1" x14ac:dyDescent="0.25">
      <c r="A84" s="1"/>
      <c r="B84" s="26">
        <f t="shared" si="9"/>
        <v>5</v>
      </c>
      <c r="C84" s="27" t="s">
        <v>527</v>
      </c>
      <c r="D84" s="26" t="s">
        <v>237</v>
      </c>
      <c r="E84" s="30" t="s">
        <v>26</v>
      </c>
      <c r="F84" s="26">
        <v>1</v>
      </c>
      <c r="G84" s="28">
        <v>1000</v>
      </c>
      <c r="H84" s="29" t="str">
        <f t="shared" si="7"/>
        <v>nhỏ</v>
      </c>
      <c r="I84" s="28"/>
      <c r="J84" s="31"/>
      <c r="K84" s="31"/>
      <c r="L84" s="55"/>
      <c r="M84" s="56"/>
      <c r="N84" s="56"/>
      <c r="O84" s="56"/>
      <c r="P84" s="56"/>
      <c r="Q84" s="55">
        <f t="shared" si="8"/>
        <v>1000</v>
      </c>
      <c r="R84" s="56"/>
      <c r="S84" s="56"/>
      <c r="U84" s="101"/>
    </row>
    <row r="85" spans="1:33" s="57" customFormat="1" x14ac:dyDescent="0.25">
      <c r="A85" s="1">
        <f ca="1">IF(B85&gt;0,SUM(MAX($A$10:A96),1),0)</f>
        <v>42</v>
      </c>
      <c r="B85" s="26">
        <f t="shared" si="9"/>
        <v>6</v>
      </c>
      <c r="C85" s="27" t="s">
        <v>151</v>
      </c>
      <c r="D85" s="26" t="s">
        <v>237</v>
      </c>
      <c r="E85" s="30" t="s">
        <v>26</v>
      </c>
      <c r="F85" s="26">
        <v>4</v>
      </c>
      <c r="G85" s="28">
        <v>1200</v>
      </c>
      <c r="H85" s="29" t="str">
        <f t="shared" si="7"/>
        <v>vừa</v>
      </c>
      <c r="I85" s="28">
        <v>200</v>
      </c>
      <c r="J85" s="31"/>
      <c r="K85" s="31" t="s">
        <v>153</v>
      </c>
      <c r="L85" s="55"/>
      <c r="M85" s="56"/>
      <c r="N85" s="56"/>
      <c r="O85" s="56"/>
      <c r="P85" s="56"/>
      <c r="Q85" s="55">
        <f t="shared" si="8"/>
        <v>4800</v>
      </c>
      <c r="R85" s="56"/>
      <c r="S85" s="56"/>
      <c r="U85" s="101"/>
    </row>
    <row r="86" spans="1:33" x14ac:dyDescent="0.25">
      <c r="A86" s="1">
        <f ca="1">IF(B86&gt;0,SUM(MAX($A$10:A96),1),0)</f>
        <v>44</v>
      </c>
      <c r="B86" s="26">
        <f t="shared" si="9"/>
        <v>7</v>
      </c>
      <c r="C86" s="27" t="s">
        <v>156</v>
      </c>
      <c r="D86" s="26" t="s">
        <v>157</v>
      </c>
      <c r="E86" s="26" t="s">
        <v>158</v>
      </c>
      <c r="F86" s="26">
        <v>1</v>
      </c>
      <c r="G86" s="28">
        <v>980</v>
      </c>
      <c r="H86" s="29" t="str">
        <f t="shared" si="7"/>
        <v>nhỏ</v>
      </c>
      <c r="I86" s="28">
        <v>40</v>
      </c>
      <c r="J86" s="31"/>
      <c r="K86" s="31" t="s">
        <v>159</v>
      </c>
      <c r="L86" s="15"/>
      <c r="M86" s="16"/>
      <c r="N86" s="16"/>
      <c r="O86" s="16"/>
      <c r="P86" s="16"/>
      <c r="Q86" s="55">
        <f t="shared" si="8"/>
        <v>980</v>
      </c>
      <c r="R86" s="16"/>
      <c r="S86" s="16"/>
      <c r="U86" s="3"/>
    </row>
    <row r="87" spans="1:33" s="57" customFormat="1" x14ac:dyDescent="0.25">
      <c r="A87" s="1">
        <f ca="1">IF(B87&gt;0,SUM(MAX($A$10:A93),1),0)</f>
        <v>51</v>
      </c>
      <c r="B87" s="26">
        <f t="shared" si="9"/>
        <v>8</v>
      </c>
      <c r="C87" s="27" t="s">
        <v>180</v>
      </c>
      <c r="D87" s="26" t="s">
        <v>157</v>
      </c>
      <c r="E87" s="26" t="s">
        <v>158</v>
      </c>
      <c r="F87" s="26">
        <v>6</v>
      </c>
      <c r="G87" s="28">
        <v>1200</v>
      </c>
      <c r="H87" s="29" t="str">
        <f t="shared" si="7"/>
        <v>vừa</v>
      </c>
      <c r="I87" s="29"/>
      <c r="J87" s="29"/>
      <c r="K87" s="31" t="s">
        <v>181</v>
      </c>
      <c r="L87" s="55"/>
      <c r="M87" s="56"/>
      <c r="N87" s="56"/>
      <c r="O87" s="56"/>
      <c r="P87" s="56"/>
      <c r="Q87" s="55">
        <f t="shared" si="8"/>
        <v>7200</v>
      </c>
      <c r="R87" s="56"/>
      <c r="S87" s="56"/>
      <c r="W87" s="59"/>
      <c r="X87" s="59"/>
      <c r="Y87" s="59"/>
      <c r="Z87" s="59">
        <v>1</v>
      </c>
      <c r="AA87" s="59">
        <v>540</v>
      </c>
      <c r="AB87" s="59"/>
      <c r="AC87" s="59"/>
      <c r="AD87">
        <f>Z87*AA87</f>
        <v>540</v>
      </c>
      <c r="AE87"/>
      <c r="AF87"/>
      <c r="AG87"/>
    </row>
    <row r="88" spans="1:33" s="57" customFormat="1" x14ac:dyDescent="0.25">
      <c r="A88" s="1">
        <f ca="1">IF(B88&gt;0,SUM(MAX($A$10:A98),1),0)</f>
        <v>54</v>
      </c>
      <c r="B88" s="202">
        <f t="shared" si="9"/>
        <v>9</v>
      </c>
      <c r="C88" s="204" t="s">
        <v>189</v>
      </c>
      <c r="D88" s="202" t="s">
        <v>157</v>
      </c>
      <c r="E88" s="202" t="s">
        <v>158</v>
      </c>
      <c r="F88" s="26">
        <v>1</v>
      </c>
      <c r="G88" s="28">
        <v>1200</v>
      </c>
      <c r="H88" s="29" t="str">
        <f t="shared" si="7"/>
        <v>nhỏ</v>
      </c>
      <c r="I88" s="29"/>
      <c r="J88" s="29"/>
      <c r="K88" s="31" t="s">
        <v>190</v>
      </c>
      <c r="L88" s="55"/>
      <c r="M88" s="56"/>
      <c r="N88" s="56"/>
      <c r="O88" s="56"/>
      <c r="P88" s="56"/>
      <c r="Q88" s="55">
        <f>F88*G88+F89*G89</f>
        <v>2180</v>
      </c>
      <c r="R88" s="56"/>
      <c r="S88" s="56"/>
      <c r="W88" s="59"/>
      <c r="X88" s="59"/>
      <c r="Y88" s="59"/>
      <c r="Z88" s="59"/>
      <c r="AA88" s="59"/>
      <c r="AB88" s="59"/>
      <c r="AC88" s="59"/>
      <c r="AD88"/>
      <c r="AE88"/>
      <c r="AF88"/>
      <c r="AG88"/>
    </row>
    <row r="89" spans="1:33" s="57" customFormat="1" x14ac:dyDescent="0.25">
      <c r="A89" s="1">
        <f>IF(B89&gt;0,SUM(MAX($A$10:A88),1),0)</f>
        <v>0</v>
      </c>
      <c r="B89" s="203"/>
      <c r="C89" s="205"/>
      <c r="D89" s="203"/>
      <c r="E89" s="203"/>
      <c r="F89" s="26">
        <v>1</v>
      </c>
      <c r="G89" s="28">
        <v>980</v>
      </c>
      <c r="H89" s="33"/>
      <c r="I89" s="33"/>
      <c r="J89" s="33"/>
      <c r="K89" s="54"/>
      <c r="L89" s="55"/>
      <c r="M89" s="56"/>
      <c r="N89" s="56"/>
      <c r="O89" s="56"/>
      <c r="P89" s="56"/>
      <c r="Q89" s="55"/>
      <c r="R89" s="56"/>
      <c r="S89" s="56"/>
      <c r="W89" s="59"/>
      <c r="X89" s="59"/>
      <c r="Y89" s="59"/>
      <c r="Z89" s="59">
        <v>1</v>
      </c>
      <c r="AA89" s="59">
        <v>980</v>
      </c>
      <c r="AB89" s="59"/>
      <c r="AC89" s="59"/>
      <c r="AD89">
        <f>Z89*AA89</f>
        <v>980</v>
      </c>
      <c r="AE89"/>
      <c r="AF89">
        <f>SUM(AD89:AD109)</f>
        <v>15120</v>
      </c>
      <c r="AG89">
        <f>SUM(AD81:AD109)</f>
        <v>18600</v>
      </c>
    </row>
    <row r="90" spans="1:33" s="57" customFormat="1" x14ac:dyDescent="0.25">
      <c r="A90" s="1">
        <f ca="1">IF(B90&gt;0,SUM(MAX($A$10:A98),1),0)</f>
        <v>53</v>
      </c>
      <c r="B90" s="26">
        <f>B88+1</f>
        <v>10</v>
      </c>
      <c r="C90" s="27" t="s">
        <v>186</v>
      </c>
      <c r="D90" s="26" t="s">
        <v>157</v>
      </c>
      <c r="E90" s="26" t="s">
        <v>158</v>
      </c>
      <c r="F90" s="26">
        <v>1</v>
      </c>
      <c r="G90" s="28">
        <v>980</v>
      </c>
      <c r="H90" s="29" t="str">
        <f>IF(AND(Q90&lt;3600,Q90&gt;0),"nhỏ",IF(AND(Q90&gt;=3600,Q90&lt;72000),"vừa",IF(Q90&lt;&gt;0,"lớn",0)))</f>
        <v>nhỏ</v>
      </c>
      <c r="I90" s="28">
        <v>60</v>
      </c>
      <c r="J90" s="31"/>
      <c r="K90" s="31" t="s">
        <v>187</v>
      </c>
      <c r="L90" s="55"/>
      <c r="M90" s="56"/>
      <c r="N90" s="56"/>
      <c r="O90" s="56"/>
      <c r="P90" s="56"/>
      <c r="Q90" s="55">
        <f>F90*G90</f>
        <v>980</v>
      </c>
      <c r="R90" s="56"/>
      <c r="S90" s="56"/>
      <c r="W90" s="59"/>
      <c r="X90" s="59"/>
      <c r="Y90" s="59"/>
      <c r="Z90" s="59">
        <v>1</v>
      </c>
      <c r="AA90" s="59">
        <v>980</v>
      </c>
      <c r="AB90" s="59"/>
      <c r="AC90" s="59"/>
      <c r="AD90">
        <f>Z90*AA90</f>
        <v>980</v>
      </c>
      <c r="AE90"/>
      <c r="AF90"/>
      <c r="AG90"/>
    </row>
    <row r="91" spans="1:33" s="57" customFormat="1" x14ac:dyDescent="0.25">
      <c r="A91" s="1">
        <f ca="1">IF(B91&gt;0,SUM(MAX($A$10:A98),1),0)</f>
        <v>49</v>
      </c>
      <c r="B91" s="26">
        <f>B90+1</f>
        <v>11</v>
      </c>
      <c r="C91" s="27" t="s">
        <v>173</v>
      </c>
      <c r="D91" s="26" t="s">
        <v>157</v>
      </c>
      <c r="E91" s="26" t="s">
        <v>175</v>
      </c>
      <c r="F91" s="26">
        <v>1</v>
      </c>
      <c r="G91" s="28">
        <v>1200</v>
      </c>
      <c r="H91" s="29" t="str">
        <f>IF(AND(Q91&lt;3600,Q91&gt;0),"nhỏ",IF(AND(Q91&gt;=3600,Q91&lt;72000),"vừa",IF(Q91&lt;&gt;0,"lớn",0)))</f>
        <v>nhỏ</v>
      </c>
      <c r="I91" s="28">
        <v>75</v>
      </c>
      <c r="J91" s="29"/>
      <c r="K91" s="54"/>
      <c r="L91" s="55"/>
      <c r="M91" s="56"/>
      <c r="N91" s="56"/>
      <c r="O91" s="56"/>
      <c r="P91" s="56"/>
      <c r="Q91" s="55">
        <f>F91*G91</f>
        <v>1200</v>
      </c>
      <c r="R91" s="56"/>
      <c r="S91" s="56"/>
      <c r="W91" s="59"/>
      <c r="X91" s="59"/>
      <c r="Y91" s="59"/>
      <c r="Z91" s="59">
        <v>1</v>
      </c>
      <c r="AA91" s="59">
        <v>980</v>
      </c>
      <c r="AB91" s="59"/>
      <c r="AC91" s="59"/>
      <c r="AD91">
        <f>Z91*AA91</f>
        <v>980</v>
      </c>
      <c r="AE91"/>
      <c r="AF91"/>
      <c r="AG91"/>
    </row>
    <row r="92" spans="1:33" s="57" customFormat="1" x14ac:dyDescent="0.25">
      <c r="A92" s="1">
        <f ca="1">IF(B92&gt;0,SUM(MAX($A$10:A91),1),0)</f>
        <v>50</v>
      </c>
      <c r="B92" s="202">
        <f>B91+1</f>
        <v>12</v>
      </c>
      <c r="C92" s="204" t="s">
        <v>177</v>
      </c>
      <c r="D92" s="202" t="s">
        <v>157</v>
      </c>
      <c r="E92" s="202" t="s">
        <v>175</v>
      </c>
      <c r="F92" s="26">
        <v>1</v>
      </c>
      <c r="G92" s="28">
        <v>1200</v>
      </c>
      <c r="H92" s="29" t="str">
        <f>IF(AND(Q92&lt;3600,Q92&gt;0),"nhỏ",IF(AND(Q92&gt;=3600,Q92&lt;72000),"vừa",IF(Q92&lt;&gt;0,"lớn",0)))</f>
        <v>nhỏ</v>
      </c>
      <c r="I92" s="212">
        <v>70</v>
      </c>
      <c r="J92" s="29"/>
      <c r="K92" s="54"/>
      <c r="L92" s="55"/>
      <c r="M92" s="56"/>
      <c r="N92" s="56"/>
      <c r="O92" s="56"/>
      <c r="P92" s="56"/>
      <c r="Q92" s="55">
        <f>F92*G92+F93*G93</f>
        <v>2180</v>
      </c>
      <c r="R92" s="56"/>
      <c r="S92" s="56"/>
      <c r="W92" s="59"/>
      <c r="X92" s="59"/>
      <c r="Y92" s="59"/>
      <c r="Z92" s="59">
        <v>2</v>
      </c>
      <c r="AA92" s="59">
        <v>980</v>
      </c>
      <c r="AB92" s="59"/>
      <c r="AC92" s="59"/>
      <c r="AD92">
        <f>Z92*AA92</f>
        <v>1960</v>
      </c>
      <c r="AE92"/>
      <c r="AF92"/>
      <c r="AG92"/>
    </row>
    <row r="93" spans="1:33" s="57" customFormat="1" x14ac:dyDescent="0.25">
      <c r="A93" s="1">
        <f>IF(B93&gt;0,SUM(MAX($A$10:A92),1),0)</f>
        <v>0</v>
      </c>
      <c r="B93" s="203"/>
      <c r="C93" s="205"/>
      <c r="D93" s="203"/>
      <c r="E93" s="203"/>
      <c r="F93" s="26">
        <v>1</v>
      </c>
      <c r="G93" s="28">
        <v>980</v>
      </c>
      <c r="H93" s="33"/>
      <c r="I93" s="213"/>
      <c r="J93" s="33"/>
      <c r="K93" s="54"/>
      <c r="L93" s="55"/>
      <c r="M93" s="56"/>
      <c r="N93" s="56"/>
      <c r="O93" s="56"/>
      <c r="P93" s="56"/>
      <c r="Q93" s="55"/>
      <c r="R93" s="56"/>
      <c r="S93" s="56"/>
      <c r="W93" s="59"/>
      <c r="X93" s="59"/>
      <c r="Y93" s="59"/>
      <c r="Z93" s="59">
        <v>1</v>
      </c>
      <c r="AA93" s="59">
        <v>1400</v>
      </c>
      <c r="AB93" s="59">
        <v>980</v>
      </c>
      <c r="AC93" s="59">
        <v>1</v>
      </c>
      <c r="AD93">
        <f>AB93+AA93</f>
        <v>2380</v>
      </c>
      <c r="AE93"/>
      <c r="AF93"/>
      <c r="AG93"/>
    </row>
    <row r="94" spans="1:33" s="57" customFormat="1" x14ac:dyDescent="0.25">
      <c r="A94" s="1">
        <f ca="1">IF(B94&gt;0,SUM(MAX($A$10:A93),1),0)</f>
        <v>52</v>
      </c>
      <c r="B94" s="26">
        <f>B92+1</f>
        <v>13</v>
      </c>
      <c r="C94" s="27" t="s">
        <v>183</v>
      </c>
      <c r="D94" s="26" t="s">
        <v>157</v>
      </c>
      <c r="E94" s="26" t="s">
        <v>175</v>
      </c>
      <c r="F94" s="26">
        <v>1</v>
      </c>
      <c r="G94" s="28">
        <v>1400</v>
      </c>
      <c r="H94" s="29" t="str">
        <f>IF(AND(Q94&lt;3600,Q94&gt;0),"nhỏ",IF(AND(Q94&gt;=3600,Q94&lt;72000),"vừa",IF(Q94&lt;&gt;0,"lớn",0)))</f>
        <v>nhỏ</v>
      </c>
      <c r="I94" s="28">
        <v>80</v>
      </c>
      <c r="J94" s="29"/>
      <c r="K94" s="54"/>
      <c r="L94" s="55"/>
      <c r="M94" s="56"/>
      <c r="N94" s="56"/>
      <c r="O94" s="56"/>
      <c r="P94" s="56"/>
      <c r="Q94" s="55">
        <f>F94*G94</f>
        <v>1400</v>
      </c>
      <c r="R94" s="56"/>
      <c r="S94" s="56"/>
      <c r="W94" s="59"/>
      <c r="X94" s="59"/>
      <c r="Y94" s="59"/>
      <c r="Z94" s="59">
        <v>1</v>
      </c>
      <c r="AA94" s="59">
        <v>980</v>
      </c>
      <c r="AB94" s="59"/>
      <c r="AC94" s="59"/>
      <c r="AD94">
        <f>Z94*AA94</f>
        <v>980</v>
      </c>
      <c r="AE94"/>
      <c r="AF94"/>
      <c r="AG94"/>
    </row>
    <row r="95" spans="1:33" s="57" customFormat="1" x14ac:dyDescent="0.25">
      <c r="A95" s="1">
        <f ca="1">IF(B95&gt;0,SUM(MAX($A$10:A79),1),0)</f>
        <v>40</v>
      </c>
      <c r="B95" s="26">
        <f t="shared" ref="B95:B100" si="10">B94+1</f>
        <v>14</v>
      </c>
      <c r="C95" s="27" t="s">
        <v>147</v>
      </c>
      <c r="D95" s="26" t="s">
        <v>237</v>
      </c>
      <c r="E95" s="26" t="s">
        <v>502</v>
      </c>
      <c r="F95" s="26">
        <v>1</v>
      </c>
      <c r="G95" s="28">
        <v>540</v>
      </c>
      <c r="H95" s="29" t="str">
        <f t="shared" ref="H95:H193" si="11">IF(AND(Q95&lt;3600,Q95&gt;0),"nhỏ",IF(AND(Q95&gt;=3600,Q95&lt;72000),"vừa",IF(Q95&lt;&gt;0,"lớn",0)))</f>
        <v>nhỏ</v>
      </c>
      <c r="I95" s="28">
        <v>16</v>
      </c>
      <c r="J95" s="29"/>
      <c r="K95" s="54"/>
      <c r="L95" s="55"/>
      <c r="M95" s="56"/>
      <c r="N95" s="56"/>
      <c r="O95" s="56"/>
      <c r="P95" s="56"/>
      <c r="Q95" s="55">
        <f>F95*G95</f>
        <v>540</v>
      </c>
      <c r="R95" s="56"/>
      <c r="S95" s="56"/>
    </row>
    <row r="96" spans="1:33" s="57" customFormat="1" x14ac:dyDescent="0.25">
      <c r="A96" s="1">
        <f ca="1">IF(B96&gt;0,SUM(MAX($A$10:A95),1),0)</f>
        <v>41</v>
      </c>
      <c r="B96" s="26">
        <f t="shared" si="10"/>
        <v>15</v>
      </c>
      <c r="C96" s="27" t="s">
        <v>149</v>
      </c>
      <c r="D96" s="26" t="s">
        <v>237</v>
      </c>
      <c r="E96" s="30" t="s">
        <v>150</v>
      </c>
      <c r="F96" s="26">
        <v>2</v>
      </c>
      <c r="G96" s="28">
        <v>997</v>
      </c>
      <c r="H96" s="29" t="str">
        <f t="shared" si="11"/>
        <v>nhỏ</v>
      </c>
      <c r="I96" s="28">
        <v>130</v>
      </c>
      <c r="J96" s="29"/>
      <c r="K96" s="54"/>
      <c r="L96" s="55"/>
      <c r="M96" s="56"/>
      <c r="N96" s="56"/>
      <c r="O96" s="56"/>
      <c r="P96" s="56"/>
      <c r="Q96" s="55">
        <f t="shared" ref="Q96:Q98" si="12">F96*G96</f>
        <v>1994</v>
      </c>
      <c r="R96" s="56"/>
      <c r="S96" s="56"/>
    </row>
    <row r="97" spans="1:33" s="57" customFormat="1" x14ac:dyDescent="0.25">
      <c r="A97" s="1">
        <f ca="1">IF(B97&gt;0,SUM(MAX($A$10:A96),1),0)</f>
        <v>45</v>
      </c>
      <c r="B97" s="26">
        <f t="shared" si="10"/>
        <v>16</v>
      </c>
      <c r="C97" s="27" t="s">
        <v>160</v>
      </c>
      <c r="D97" s="26" t="s">
        <v>524</v>
      </c>
      <c r="E97" s="26" t="s">
        <v>162</v>
      </c>
      <c r="F97" s="26">
        <v>2</v>
      </c>
      <c r="G97" s="28">
        <v>980</v>
      </c>
      <c r="H97" s="29" t="str">
        <f t="shared" si="11"/>
        <v>nhỏ</v>
      </c>
      <c r="I97" s="29"/>
      <c r="J97" s="29"/>
      <c r="K97" s="54"/>
      <c r="L97" s="55"/>
      <c r="M97" s="56"/>
      <c r="N97" s="56"/>
      <c r="O97" s="56"/>
      <c r="P97" s="56"/>
      <c r="Q97" s="55">
        <f t="shared" si="12"/>
        <v>1960</v>
      </c>
      <c r="R97" s="56"/>
      <c r="S97" s="56"/>
    </row>
    <row r="98" spans="1:33" s="57" customFormat="1" x14ac:dyDescent="0.25">
      <c r="A98" s="1">
        <f ca="1">IF(B98&gt;0,SUM(MAX($A$10:A97),1),0)</f>
        <v>46</v>
      </c>
      <c r="B98" s="26">
        <f t="shared" si="10"/>
        <v>17</v>
      </c>
      <c r="C98" s="27" t="s">
        <v>163</v>
      </c>
      <c r="D98" s="26" t="s">
        <v>524</v>
      </c>
      <c r="E98" s="26" t="s">
        <v>165</v>
      </c>
      <c r="F98" s="26">
        <v>1</v>
      </c>
      <c r="G98" s="28">
        <v>980</v>
      </c>
      <c r="H98" s="29" t="str">
        <f t="shared" si="11"/>
        <v>nhỏ</v>
      </c>
      <c r="I98" s="28">
        <v>60</v>
      </c>
      <c r="J98" s="29"/>
      <c r="K98" s="54"/>
      <c r="L98" s="55"/>
      <c r="M98" s="56"/>
      <c r="N98" s="56"/>
      <c r="O98" s="56"/>
      <c r="P98" s="56"/>
      <c r="Q98" s="55">
        <f t="shared" si="12"/>
        <v>980</v>
      </c>
      <c r="R98" s="56"/>
      <c r="S98" s="56"/>
    </row>
    <row r="99" spans="1:33" s="57" customFormat="1" x14ac:dyDescent="0.25">
      <c r="A99" s="1">
        <f ca="1">IF(B99&gt;0,SUM(MAX($A$10:A98),1),0)</f>
        <v>55</v>
      </c>
      <c r="B99" s="26">
        <f t="shared" si="10"/>
        <v>18</v>
      </c>
      <c r="C99" s="27" t="s">
        <v>193</v>
      </c>
      <c r="D99" s="26" t="s">
        <v>157</v>
      </c>
      <c r="E99" s="26" t="s">
        <v>194</v>
      </c>
      <c r="F99" s="26">
        <v>1</v>
      </c>
      <c r="G99" s="28">
        <v>540</v>
      </c>
      <c r="H99" s="29" t="str">
        <f t="shared" si="11"/>
        <v>nhỏ</v>
      </c>
      <c r="I99" s="29"/>
      <c r="J99" s="29"/>
      <c r="K99" s="54"/>
      <c r="L99" s="55"/>
      <c r="M99" s="56"/>
      <c r="N99" s="56"/>
      <c r="O99" s="56"/>
      <c r="P99" s="56"/>
      <c r="Q99" s="55">
        <f t="shared" ref="Q99:Q109" si="13">F99*G99</f>
        <v>540</v>
      </c>
      <c r="R99" s="56"/>
      <c r="S99" s="56"/>
      <c r="W99" s="59"/>
      <c r="X99" s="59"/>
      <c r="Y99" s="59"/>
      <c r="Z99" s="59">
        <v>2</v>
      </c>
      <c r="AA99" s="59">
        <v>980</v>
      </c>
      <c r="AB99" s="59"/>
      <c r="AC99" s="59"/>
      <c r="AD99">
        <f t="shared" ref="AD99:AD109" si="14">Z99*AA99</f>
        <v>1960</v>
      </c>
      <c r="AE99"/>
      <c r="AF99"/>
      <c r="AG99"/>
    </row>
    <row r="100" spans="1:33" x14ac:dyDescent="0.25">
      <c r="A100" s="1">
        <f ca="1">IF(B100&gt;0,SUM(MAX($A$10:A37),1),0)</f>
        <v>19</v>
      </c>
      <c r="B100" s="202">
        <f t="shared" si="10"/>
        <v>19</v>
      </c>
      <c r="C100" s="204" t="s">
        <v>81</v>
      </c>
      <c r="D100" s="202" t="s">
        <v>524</v>
      </c>
      <c r="E100" s="206" t="s">
        <v>83</v>
      </c>
      <c r="F100" s="26">
        <v>3</v>
      </c>
      <c r="G100" s="28">
        <v>980</v>
      </c>
      <c r="H100" s="29" t="str">
        <f>IF(AND(Q100&lt;3600,Q100&gt;0),"nhỏ",IF(AND(Q100&gt;=3600,Q100&lt;72000),"vừa",IF(Q100&lt;&gt;0,"lớn",0)))</f>
        <v>vừa</v>
      </c>
      <c r="I100" s="28">
        <v>331</v>
      </c>
      <c r="J100" s="29"/>
      <c r="K100" s="30"/>
      <c r="L100" s="15"/>
      <c r="M100" s="16"/>
      <c r="N100" s="16"/>
      <c r="O100" s="16"/>
      <c r="P100" s="16"/>
      <c r="Q100" s="39">
        <f>F100*G100+F101*G101</f>
        <v>3740</v>
      </c>
      <c r="R100" s="16"/>
      <c r="S100" s="16"/>
      <c r="U100" s="3"/>
    </row>
    <row r="101" spans="1:33" s="2" customFormat="1" x14ac:dyDescent="0.25">
      <c r="A101" s="1">
        <f>IF(B101&gt;0,SUM(MAX($A$10:A100),1),0)</f>
        <v>0</v>
      </c>
      <c r="B101" s="203"/>
      <c r="C101" s="205"/>
      <c r="D101" s="203"/>
      <c r="E101" s="207"/>
      <c r="F101" s="26">
        <v>1</v>
      </c>
      <c r="G101" s="28">
        <v>800</v>
      </c>
      <c r="H101" s="33"/>
      <c r="I101" s="33"/>
      <c r="J101" s="33"/>
      <c r="K101" s="22"/>
      <c r="L101" s="23"/>
      <c r="M101" s="24"/>
      <c r="N101" s="24"/>
      <c r="O101" s="24"/>
      <c r="P101" s="24"/>
      <c r="Q101" s="23"/>
      <c r="R101" s="24"/>
      <c r="S101" s="24"/>
    </row>
    <row r="102" spans="1:33" s="53" customFormat="1" x14ac:dyDescent="0.25">
      <c r="A102" s="1">
        <f>IF(B102&gt;0,SUM(MAX($A$10:A99),1),0)</f>
        <v>0</v>
      </c>
      <c r="B102" s="19"/>
      <c r="C102" s="20" t="s">
        <v>34</v>
      </c>
      <c r="D102" s="19" t="str">
        <f>CONCATENATE(COUNT(B102:B119)," trạm")</f>
        <v>11 trạm</v>
      </c>
      <c r="E102" s="19"/>
      <c r="F102" s="17">
        <f>+SUM(F104:F116)</f>
        <v>35</v>
      </c>
      <c r="G102" s="31"/>
      <c r="H102" s="49"/>
      <c r="I102" s="49"/>
      <c r="J102" s="49"/>
      <c r="K102" s="50"/>
      <c r="L102" s="25">
        <f>COUNTIF(H109:H116,"lớn")</f>
        <v>0</v>
      </c>
      <c r="M102" s="25">
        <f>COUNTIF(H109:H116,"vừa")</f>
        <v>3</v>
      </c>
      <c r="N102" s="25">
        <f>COUNTIF(H109:H116,"nhỏ")</f>
        <v>2</v>
      </c>
      <c r="O102" s="52"/>
      <c r="P102" s="52"/>
      <c r="Q102" s="51">
        <f>SUM(Q109:Q116)+AF89</f>
        <v>32780</v>
      </c>
      <c r="R102" s="52"/>
      <c r="S102" s="52"/>
      <c r="W102" s="59"/>
      <c r="X102" s="59"/>
      <c r="Y102" s="59"/>
      <c r="Z102" s="59">
        <v>2</v>
      </c>
      <c r="AA102" s="59">
        <v>980</v>
      </c>
      <c r="AB102" s="59"/>
      <c r="AC102" s="59"/>
      <c r="AD102">
        <f t="shared" si="14"/>
        <v>1960</v>
      </c>
      <c r="AE102"/>
      <c r="AF102"/>
      <c r="AG102"/>
    </row>
    <row r="103" spans="1:33" ht="33" x14ac:dyDescent="0.25">
      <c r="A103" s="1">
        <f ca="1">IF(B103&gt;0,SUM(MAX($A$10:A42),1),0)</f>
        <v>0</v>
      </c>
      <c r="B103" s="109">
        <f>B100+1</f>
        <v>20</v>
      </c>
      <c r="C103" s="111" t="s">
        <v>94</v>
      </c>
      <c r="D103" s="109" t="s">
        <v>524</v>
      </c>
      <c r="E103" s="109" t="s">
        <v>37</v>
      </c>
      <c r="F103" s="26">
        <v>8</v>
      </c>
      <c r="G103" s="28">
        <v>8000</v>
      </c>
      <c r="H103" s="29" t="str">
        <f>IF(AND(Q103&lt;3600,Q103&gt;0),"nhỏ",IF(AND(Q103&gt;=3600,Q103&lt;72000),"vừa",IF(Q103&lt;&gt;0,"lớn",0)))</f>
        <v>vừa</v>
      </c>
      <c r="I103" s="113"/>
      <c r="J103" s="114">
        <v>789</v>
      </c>
      <c r="K103" s="114" t="s">
        <v>96</v>
      </c>
      <c r="L103" s="15"/>
      <c r="M103" s="16"/>
      <c r="N103" s="16"/>
      <c r="O103" s="16"/>
      <c r="P103" s="16"/>
      <c r="Q103" s="15">
        <f>F103*G103</f>
        <v>64000</v>
      </c>
      <c r="R103" s="16"/>
      <c r="S103" s="16"/>
      <c r="U103" s="3"/>
    </row>
    <row r="104" spans="1:33" ht="33" x14ac:dyDescent="0.25">
      <c r="A104" s="1">
        <f ca="1">IF(B104&gt;0,SUM(MAX($A$10:A107),1),0)</f>
        <v>63</v>
      </c>
      <c r="B104" s="26">
        <f>B103+1</f>
        <v>21</v>
      </c>
      <c r="C104" s="27" t="s">
        <v>213</v>
      </c>
      <c r="D104" s="26" t="s">
        <v>213</v>
      </c>
      <c r="E104" s="26" t="s">
        <v>37</v>
      </c>
      <c r="F104" s="26">
        <v>3</v>
      </c>
      <c r="G104" s="28">
        <v>25200</v>
      </c>
      <c r="H104" s="29" t="str">
        <f>IF(AND(Q104&lt;3600,Q104&gt;0),"nhỏ",IF(AND(Q104&gt;=3600,Q104&lt;72000),"vừa",IF(Q104&lt;&gt;0,"lớn",0)))</f>
        <v>lớn</v>
      </c>
      <c r="I104" s="29"/>
      <c r="J104" s="43">
        <v>4200</v>
      </c>
      <c r="K104" s="31" t="s">
        <v>214</v>
      </c>
      <c r="L104" s="15"/>
      <c r="M104" s="16"/>
      <c r="N104" s="16"/>
      <c r="O104" s="16"/>
      <c r="P104" s="16"/>
      <c r="Q104" s="15">
        <f>F104*G104</f>
        <v>75600</v>
      </c>
      <c r="R104" s="16"/>
      <c r="S104" s="16"/>
      <c r="U104" s="3"/>
    </row>
    <row r="105" spans="1:33" x14ac:dyDescent="0.25">
      <c r="A105" s="1">
        <f ca="1">IF(B105&gt;0,SUM(MAX($A$10:A109),1),0)</f>
        <v>58</v>
      </c>
      <c r="B105" s="202">
        <f>B104+1</f>
        <v>22</v>
      </c>
      <c r="C105" s="204" t="s">
        <v>204</v>
      </c>
      <c r="D105" s="202" t="s">
        <v>237</v>
      </c>
      <c r="E105" s="202" t="s">
        <v>26</v>
      </c>
      <c r="F105" s="26">
        <v>7</v>
      </c>
      <c r="G105" s="28">
        <v>1950</v>
      </c>
      <c r="H105" s="208" t="str">
        <f>IF(AND(Q105&lt;3600,Q105&gt;0),"nhỏ",IF(AND(Q105&gt;=3600,Q105&lt;72000),"vừa",IF(Q105&lt;&gt;0,"lớn",0)))</f>
        <v>vừa</v>
      </c>
      <c r="I105" s="208"/>
      <c r="J105" s="212">
        <v>720</v>
      </c>
      <c r="K105" s="200" t="s">
        <v>205</v>
      </c>
      <c r="L105" s="15"/>
      <c r="M105" s="16"/>
      <c r="N105" s="16"/>
      <c r="O105" s="16"/>
      <c r="P105" s="16"/>
      <c r="Q105" s="55">
        <f>F105*G105+F106*G106</f>
        <v>15250</v>
      </c>
      <c r="R105" s="16"/>
      <c r="S105" s="16"/>
    </row>
    <row r="106" spans="1:33" x14ac:dyDescent="0.25">
      <c r="A106" s="1">
        <f>IF(B106&gt;0,SUM(MAX($A$10:A105),1),0)</f>
        <v>0</v>
      </c>
      <c r="B106" s="203"/>
      <c r="C106" s="205"/>
      <c r="D106" s="203"/>
      <c r="E106" s="203"/>
      <c r="F106" s="26">
        <v>2</v>
      </c>
      <c r="G106" s="28">
        <v>800</v>
      </c>
      <c r="H106" s="209"/>
      <c r="I106" s="209"/>
      <c r="J106" s="213"/>
      <c r="K106" s="201"/>
      <c r="L106" s="15"/>
      <c r="M106" s="16"/>
      <c r="N106" s="16"/>
      <c r="O106" s="16"/>
      <c r="P106" s="16"/>
      <c r="Q106" s="15"/>
      <c r="R106" s="16"/>
      <c r="S106" s="16"/>
      <c r="U106" s="3"/>
    </row>
    <row r="107" spans="1:33" x14ac:dyDescent="0.25">
      <c r="A107" s="1">
        <f ca="1">IF(B107&gt;0,SUM(MAX($A$10:A114),1),0)</f>
        <v>62</v>
      </c>
      <c r="B107" s="26">
        <f>B105+1</f>
        <v>23</v>
      </c>
      <c r="C107" s="27" t="s">
        <v>211</v>
      </c>
      <c r="D107" s="26" t="s">
        <v>157</v>
      </c>
      <c r="E107" s="26" t="s">
        <v>158</v>
      </c>
      <c r="F107" s="26">
        <v>3</v>
      </c>
      <c r="G107" s="28">
        <v>1200</v>
      </c>
      <c r="H107" s="29" t="str">
        <f>IF(AND(Q107&lt;3600,Q107&gt;0),"nhỏ",IF(AND(Q107&gt;=3600,Q107&lt;72000),"vừa",IF(Q107&lt;&gt;0,"lớn",0)))</f>
        <v>vừa</v>
      </c>
      <c r="I107" s="29"/>
      <c r="J107" s="43">
        <v>84</v>
      </c>
      <c r="K107" s="31" t="s">
        <v>212</v>
      </c>
      <c r="L107" s="15"/>
      <c r="M107" s="16"/>
      <c r="N107" s="16"/>
      <c r="O107" s="16"/>
      <c r="P107" s="16"/>
      <c r="Q107" s="15">
        <f>F107*G107</f>
        <v>3600</v>
      </c>
      <c r="R107" s="16"/>
      <c r="S107" s="16"/>
      <c r="U107" s="3"/>
    </row>
    <row r="108" spans="1:33" x14ac:dyDescent="0.25">
      <c r="A108" s="1">
        <f ca="1">IF(B108&gt;0,SUM(MAX($A$10:A107),1),0)</f>
        <v>64</v>
      </c>
      <c r="B108" s="26">
        <f>B107+1</f>
        <v>24</v>
      </c>
      <c r="C108" s="27" t="s">
        <v>215</v>
      </c>
      <c r="D108" s="26" t="s">
        <v>157</v>
      </c>
      <c r="E108" s="26" t="s">
        <v>158</v>
      </c>
      <c r="F108" s="26">
        <v>4</v>
      </c>
      <c r="G108" s="28">
        <v>4000</v>
      </c>
      <c r="H108" s="29" t="str">
        <f>IF(AND(Q108&lt;3600,Q108&gt;0),"nhỏ",IF(AND(Q108&gt;=3600,Q108&lt;72000),"vừa",IF(Q108&lt;&gt;0,"lớn",0)))</f>
        <v>vừa</v>
      </c>
      <c r="I108" s="29"/>
      <c r="J108" s="28">
        <v>1750</v>
      </c>
      <c r="K108" s="31" t="s">
        <v>181</v>
      </c>
      <c r="L108" s="15"/>
      <c r="M108" s="16"/>
      <c r="N108" s="16"/>
      <c r="O108" s="16"/>
      <c r="P108" s="16"/>
      <c r="Q108" s="15">
        <f>F108*G108</f>
        <v>16000</v>
      </c>
      <c r="R108" s="16"/>
      <c r="S108" s="16"/>
      <c r="U108" s="3"/>
    </row>
    <row r="109" spans="1:33" x14ac:dyDescent="0.25">
      <c r="A109" s="1">
        <f ca="1">IF(B109&gt;0,SUM(MAX($A$10:A102),1),0)</f>
        <v>57</v>
      </c>
      <c r="B109" s="26">
        <f>B108+1</f>
        <v>25</v>
      </c>
      <c r="C109" s="27" t="s">
        <v>201</v>
      </c>
      <c r="D109" s="26" t="s">
        <v>237</v>
      </c>
      <c r="E109" s="26" t="s">
        <v>202</v>
      </c>
      <c r="F109" s="26">
        <v>4</v>
      </c>
      <c r="G109" s="28">
        <v>980</v>
      </c>
      <c r="H109" s="29" t="str">
        <f t="shared" si="11"/>
        <v>vừa</v>
      </c>
      <c r="I109" s="29"/>
      <c r="J109" s="43">
        <v>168</v>
      </c>
      <c r="K109" s="30"/>
      <c r="L109" s="15"/>
      <c r="M109" s="16"/>
      <c r="N109" s="16"/>
      <c r="O109" s="16"/>
      <c r="P109" s="16"/>
      <c r="Q109" s="55">
        <f t="shared" si="13"/>
        <v>3920</v>
      </c>
      <c r="R109" s="16"/>
      <c r="S109" s="16"/>
      <c r="U109" s="3"/>
      <c r="W109" s="59"/>
      <c r="X109" s="59"/>
      <c r="Y109" s="59"/>
      <c r="Z109" s="59">
        <v>3</v>
      </c>
      <c r="AA109" s="59">
        <v>980</v>
      </c>
      <c r="AB109" s="59"/>
      <c r="AC109" s="59"/>
      <c r="AD109">
        <f t="shared" si="14"/>
        <v>2940</v>
      </c>
      <c r="AE109"/>
      <c r="AF109"/>
      <c r="AG109"/>
    </row>
    <row r="110" spans="1:33" x14ac:dyDescent="0.25">
      <c r="A110" s="1">
        <f ca="1">IF(B110&gt;0,SUM(MAX($A$10:A109),1),0)</f>
        <v>59</v>
      </c>
      <c r="B110" s="202">
        <f>B109+1</f>
        <v>26</v>
      </c>
      <c r="C110" s="204" t="s">
        <v>206</v>
      </c>
      <c r="D110" s="202" t="s">
        <v>237</v>
      </c>
      <c r="E110" s="202" t="s">
        <v>202</v>
      </c>
      <c r="F110" s="26">
        <v>2</v>
      </c>
      <c r="G110" s="28">
        <v>980</v>
      </c>
      <c r="H110" s="208" t="str">
        <f t="shared" si="11"/>
        <v>vừa</v>
      </c>
      <c r="I110" s="208"/>
      <c r="J110" s="208"/>
      <c r="K110" s="206"/>
      <c r="L110" s="15"/>
      <c r="M110" s="16"/>
      <c r="N110" s="16"/>
      <c r="O110" s="16"/>
      <c r="P110" s="16"/>
      <c r="Q110" s="55">
        <f>F110*G110+F111*G111</f>
        <v>4200</v>
      </c>
      <c r="R110" s="16"/>
      <c r="S110" s="16"/>
      <c r="U110" s="3"/>
    </row>
    <row r="111" spans="1:33" x14ac:dyDescent="0.25">
      <c r="A111" s="1">
        <f>IF(B111&gt;0,SUM(MAX($A$10:A110),1),0)</f>
        <v>0</v>
      </c>
      <c r="B111" s="203"/>
      <c r="C111" s="205"/>
      <c r="D111" s="203"/>
      <c r="E111" s="203"/>
      <c r="F111" s="26">
        <v>2</v>
      </c>
      <c r="G111" s="28">
        <v>1120</v>
      </c>
      <c r="H111" s="209"/>
      <c r="I111" s="209"/>
      <c r="J111" s="209"/>
      <c r="K111" s="207"/>
      <c r="L111" s="15"/>
      <c r="M111" s="16"/>
      <c r="N111" s="16"/>
      <c r="O111" s="16"/>
      <c r="P111" s="16"/>
      <c r="Q111" s="15"/>
      <c r="R111" s="16"/>
      <c r="S111" s="16"/>
      <c r="U111" s="3"/>
    </row>
    <row r="112" spans="1:33" x14ac:dyDescent="0.25">
      <c r="A112" s="1">
        <f ca="1">IF(B112&gt;0,SUM(MAX($A$10:A111),1),0)</f>
        <v>60</v>
      </c>
      <c r="B112" s="202">
        <f>B110+1</f>
        <v>27</v>
      </c>
      <c r="C112" s="204" t="s">
        <v>208</v>
      </c>
      <c r="D112" s="202" t="s">
        <v>237</v>
      </c>
      <c r="E112" s="202" t="s">
        <v>202</v>
      </c>
      <c r="F112" s="26">
        <v>2</v>
      </c>
      <c r="G112" s="28">
        <v>980</v>
      </c>
      <c r="H112" s="208" t="str">
        <f t="shared" si="11"/>
        <v>nhỏ</v>
      </c>
      <c r="I112" s="208"/>
      <c r="J112" s="208"/>
      <c r="K112" s="206"/>
      <c r="L112" s="15"/>
      <c r="M112" s="16"/>
      <c r="N112" s="16"/>
      <c r="O112" s="16"/>
      <c r="P112" s="16"/>
      <c r="Q112" s="55">
        <f>F112*G112+F113*G113</f>
        <v>3160</v>
      </c>
      <c r="R112" s="16"/>
      <c r="S112" s="16"/>
      <c r="U112" s="3"/>
    </row>
    <row r="113" spans="1:21" x14ac:dyDescent="0.25">
      <c r="A113" s="1">
        <f>IF(B113&gt;0,SUM(MAX($A$10:A112),1),0)</f>
        <v>0</v>
      </c>
      <c r="B113" s="203"/>
      <c r="C113" s="205"/>
      <c r="D113" s="203"/>
      <c r="E113" s="203"/>
      <c r="F113" s="26">
        <v>1</v>
      </c>
      <c r="G113" s="28">
        <v>1200</v>
      </c>
      <c r="H113" s="209"/>
      <c r="I113" s="209"/>
      <c r="J113" s="209"/>
      <c r="K113" s="207"/>
      <c r="L113" s="15"/>
      <c r="M113" s="16"/>
      <c r="N113" s="16"/>
      <c r="O113" s="16"/>
      <c r="P113" s="16"/>
      <c r="Q113" s="15"/>
      <c r="R113" s="16"/>
      <c r="S113" s="16"/>
      <c r="U113" s="3"/>
    </row>
    <row r="114" spans="1:21" x14ac:dyDescent="0.25">
      <c r="A114" s="1">
        <f ca="1">IF(B114&gt;0,SUM(MAX($A$10:A113),1),0)</f>
        <v>61</v>
      </c>
      <c r="B114" s="26">
        <f>B112+1</f>
        <v>28</v>
      </c>
      <c r="C114" s="27" t="s">
        <v>209</v>
      </c>
      <c r="D114" s="26" t="s">
        <v>524</v>
      </c>
      <c r="E114" s="26" t="s">
        <v>83</v>
      </c>
      <c r="F114" s="26">
        <v>3</v>
      </c>
      <c r="G114" s="28">
        <v>1400</v>
      </c>
      <c r="H114" s="29" t="str">
        <f t="shared" si="11"/>
        <v>vừa</v>
      </c>
      <c r="I114" s="29"/>
      <c r="J114" s="43">
        <v>100</v>
      </c>
      <c r="K114" s="30"/>
      <c r="L114" s="15"/>
      <c r="M114" s="16"/>
      <c r="N114" s="16"/>
      <c r="O114" s="16"/>
      <c r="P114" s="16"/>
      <c r="Q114" s="15">
        <f>F114*G114</f>
        <v>4200</v>
      </c>
      <c r="R114" s="16"/>
      <c r="S114" s="16"/>
      <c r="U114" s="3"/>
    </row>
    <row r="115" spans="1:21" x14ac:dyDescent="0.25">
      <c r="A115" s="1">
        <f ca="1">IF(B115&gt;0,SUM(MAX($A$10:A114),1),0)</f>
        <v>65</v>
      </c>
      <c r="B115" s="202">
        <f>B114+1</f>
        <v>29</v>
      </c>
      <c r="C115" s="204" t="s">
        <v>216</v>
      </c>
      <c r="D115" s="202" t="s">
        <v>157</v>
      </c>
      <c r="E115" s="202" t="s">
        <v>217</v>
      </c>
      <c r="F115" s="26">
        <v>1</v>
      </c>
      <c r="G115" s="28">
        <v>1200</v>
      </c>
      <c r="H115" s="208" t="str">
        <f t="shared" si="11"/>
        <v>nhỏ</v>
      </c>
      <c r="I115" s="29"/>
      <c r="J115" s="29"/>
      <c r="K115" s="30"/>
      <c r="L115" s="15"/>
      <c r="M115" s="16"/>
      <c r="N115" s="16"/>
      <c r="O115" s="16"/>
      <c r="P115" s="16"/>
      <c r="Q115" s="15">
        <f>F115*G115+F116*G116</f>
        <v>2180</v>
      </c>
      <c r="R115" s="16"/>
      <c r="S115" s="16"/>
      <c r="U115" s="3"/>
    </row>
    <row r="116" spans="1:21" x14ac:dyDescent="0.25">
      <c r="A116" s="1">
        <f>IF(B116&gt;0,SUM(MAX($A$10:A115),1),0)</f>
        <v>0</v>
      </c>
      <c r="B116" s="203"/>
      <c r="C116" s="205"/>
      <c r="D116" s="203"/>
      <c r="E116" s="203"/>
      <c r="F116" s="26">
        <v>1</v>
      </c>
      <c r="G116" s="28">
        <v>980</v>
      </c>
      <c r="H116" s="209"/>
      <c r="I116" s="29"/>
      <c r="J116" s="29"/>
      <c r="K116" s="30"/>
      <c r="L116" s="15"/>
      <c r="M116" s="16"/>
      <c r="N116" s="16"/>
      <c r="O116" s="16"/>
      <c r="P116" s="16"/>
      <c r="Q116" s="15"/>
      <c r="R116" s="16"/>
      <c r="S116" s="16"/>
      <c r="U116" s="3"/>
    </row>
    <row r="117" spans="1:21" s="2" customFormat="1" x14ac:dyDescent="0.25">
      <c r="A117" s="1">
        <f ca="1">IF(B117&gt;0,SUM(MAX($A$10:A46),1),0)</f>
        <v>25</v>
      </c>
      <c r="B117" s="202">
        <f>B115+1</f>
        <v>30</v>
      </c>
      <c r="C117" s="204" t="s">
        <v>100</v>
      </c>
      <c r="D117" s="202" t="s">
        <v>524</v>
      </c>
      <c r="E117" s="202" t="s">
        <v>83</v>
      </c>
      <c r="F117" s="26">
        <v>1</v>
      </c>
      <c r="G117" s="28">
        <v>1500</v>
      </c>
      <c r="H117" s="208" t="str">
        <f>IF(AND(Q117&lt;3600,Q117&gt;0),"nhỏ",IF(AND(Q117&gt;=3600,Q117&lt;72000),"vừa",IF(Q117&lt;&gt;0,"lớn",0)))</f>
        <v>nhỏ</v>
      </c>
      <c r="I117" s="208"/>
      <c r="J117" s="212">
        <v>54</v>
      </c>
      <c r="K117" s="214"/>
      <c r="L117" s="23"/>
      <c r="M117" s="24"/>
      <c r="N117" s="24"/>
      <c r="O117" s="24"/>
      <c r="P117" s="24"/>
      <c r="Q117" s="15">
        <f>F117*G117+F118*G118</f>
        <v>2500</v>
      </c>
      <c r="R117" s="24"/>
      <c r="S117" s="24"/>
    </row>
    <row r="118" spans="1:21" s="41" customFormat="1" x14ac:dyDescent="0.25">
      <c r="A118" s="1">
        <f>IF(B118&gt;0,SUM(MAX($A$10:A117),1),0)</f>
        <v>0</v>
      </c>
      <c r="B118" s="203"/>
      <c r="C118" s="205"/>
      <c r="D118" s="203"/>
      <c r="E118" s="203"/>
      <c r="F118" s="26">
        <v>1</v>
      </c>
      <c r="G118" s="28">
        <v>1000</v>
      </c>
      <c r="H118" s="209"/>
      <c r="I118" s="209"/>
      <c r="J118" s="213"/>
      <c r="K118" s="215"/>
      <c r="L118" s="39"/>
      <c r="M118" s="40"/>
      <c r="N118" s="40"/>
      <c r="O118" s="40"/>
      <c r="P118" s="40"/>
      <c r="Q118" s="39"/>
      <c r="R118" s="40"/>
      <c r="S118" s="40"/>
    </row>
    <row r="119" spans="1:21" s="53" customFormat="1" ht="25.5" customHeight="1" x14ac:dyDescent="0.25">
      <c r="A119" s="1">
        <f>IF(B119&gt;0,SUM(MAX($A$10:A116),1),0)</f>
        <v>0</v>
      </c>
      <c r="B119" s="19"/>
      <c r="C119" s="20" t="s">
        <v>112</v>
      </c>
      <c r="D119" s="19" t="str">
        <f>CONCATENATE(COUNT(B119:B226)," trạm")</f>
        <v>71 trạm</v>
      </c>
      <c r="E119" s="19"/>
      <c r="F119" s="17">
        <f>+SUM(F120:F226)</f>
        <v>343</v>
      </c>
      <c r="G119" s="31"/>
      <c r="H119" s="49"/>
      <c r="I119" s="49"/>
      <c r="J119" s="49"/>
      <c r="K119" s="50"/>
      <c r="L119" s="25">
        <f>COUNTIF(H127:H226,"lớn")</f>
        <v>1</v>
      </c>
      <c r="M119" s="25">
        <f>COUNTIF(H127:H226,"vừa")</f>
        <v>47</v>
      </c>
      <c r="N119" s="25">
        <f>COUNTIF(H127:H226,"nhỏ")</f>
        <v>20</v>
      </c>
      <c r="O119" s="52"/>
      <c r="P119" s="52"/>
      <c r="Q119" s="51">
        <f>SUM(Q127:Q226)</f>
        <v>586860</v>
      </c>
      <c r="R119" s="52"/>
      <c r="S119" s="52"/>
    </row>
    <row r="120" spans="1:21" s="57" customFormat="1" x14ac:dyDescent="0.25">
      <c r="A120" s="1">
        <f ca="1">IF(B120&gt;0,SUM(MAX($A$10:A164),1),0)</f>
        <v>73</v>
      </c>
      <c r="B120" s="202">
        <f>B117+1</f>
        <v>31</v>
      </c>
      <c r="C120" s="204" t="s">
        <v>234</v>
      </c>
      <c r="D120" s="202" t="s">
        <v>237</v>
      </c>
      <c r="E120" s="202" t="s">
        <v>26</v>
      </c>
      <c r="F120" s="26">
        <v>1</v>
      </c>
      <c r="G120" s="28">
        <v>1200</v>
      </c>
      <c r="H120" s="208" t="str">
        <f>IF(AND(Q120&lt;3600,Q120&gt;0),"nhỏ",IF(AND(Q120&gt;=3600,Q120&lt;72000),"vừa",IF(Q120&lt;&gt;0,"lớn",0)))</f>
        <v>vừa</v>
      </c>
      <c r="I120" s="212">
        <v>150</v>
      </c>
      <c r="J120" s="212">
        <v>150</v>
      </c>
      <c r="K120" s="200" t="s">
        <v>235</v>
      </c>
      <c r="L120" s="55"/>
      <c r="M120" s="56"/>
      <c r="N120" s="56"/>
      <c r="O120" s="56"/>
      <c r="P120" s="56"/>
      <c r="Q120" s="55">
        <f>F120*G120+F121*G121+F122*G122</f>
        <v>8400</v>
      </c>
      <c r="R120" s="56"/>
      <c r="S120" s="56"/>
      <c r="U120" s="101"/>
    </row>
    <row r="121" spans="1:21" s="57" customFormat="1" x14ac:dyDescent="0.25">
      <c r="A121" s="1">
        <f>IF(B121&gt;0,SUM(MAX($A$10:A120),1),0)</f>
        <v>0</v>
      </c>
      <c r="B121" s="203"/>
      <c r="C121" s="205"/>
      <c r="D121" s="210"/>
      <c r="E121" s="210"/>
      <c r="F121" s="26">
        <v>3</v>
      </c>
      <c r="G121" s="28">
        <v>2000</v>
      </c>
      <c r="H121" s="211"/>
      <c r="I121" s="213"/>
      <c r="J121" s="213"/>
      <c r="K121" s="216"/>
      <c r="L121" s="55"/>
      <c r="M121" s="56"/>
      <c r="N121" s="56"/>
      <c r="O121" s="56"/>
      <c r="P121" s="56"/>
      <c r="Q121" s="55"/>
      <c r="R121" s="56"/>
      <c r="S121" s="56"/>
    </row>
    <row r="122" spans="1:21" s="57" customFormat="1" x14ac:dyDescent="0.25">
      <c r="A122" s="1">
        <f>IF(B122&gt;0,SUM(MAX($A$10:A121),1),0)</f>
        <v>0</v>
      </c>
      <c r="B122" s="110"/>
      <c r="C122" s="27" t="s">
        <v>236</v>
      </c>
      <c r="D122" s="203"/>
      <c r="E122" s="203"/>
      <c r="F122" s="26">
        <v>1</v>
      </c>
      <c r="G122" s="28">
        <v>1200</v>
      </c>
      <c r="H122" s="209"/>
      <c r="I122" s="29"/>
      <c r="J122" s="29"/>
      <c r="K122" s="201"/>
      <c r="L122" s="55"/>
      <c r="M122" s="56"/>
      <c r="N122" s="56"/>
      <c r="O122" s="56"/>
      <c r="P122" s="56"/>
      <c r="Q122" s="55"/>
      <c r="R122" s="56"/>
      <c r="S122" s="56"/>
    </row>
    <row r="123" spans="1:21" s="57" customFormat="1" x14ac:dyDescent="0.25">
      <c r="A123" s="1"/>
      <c r="B123" s="202">
        <f>B120+1</f>
        <v>32</v>
      </c>
      <c r="C123" s="204" t="s">
        <v>239</v>
      </c>
      <c r="D123" s="202" t="s">
        <v>237</v>
      </c>
      <c r="E123" s="202" t="s">
        <v>26</v>
      </c>
      <c r="F123" s="26">
        <v>3</v>
      </c>
      <c r="G123" s="28">
        <v>2000</v>
      </c>
      <c r="H123" s="208" t="str">
        <f>IF(AND(Q123&lt;3600,Q123&gt;0),"nhỏ",IF(AND(Q123&gt;=3600,Q123&lt;72000),"vừa",IF(Q123&lt;&gt;0,"lớn",0)))</f>
        <v>vừa</v>
      </c>
      <c r="I123" s="212">
        <v>200</v>
      </c>
      <c r="J123" s="212">
        <v>200</v>
      </c>
      <c r="K123" s="200" t="s">
        <v>240</v>
      </c>
      <c r="L123" s="55"/>
      <c r="M123" s="56"/>
      <c r="N123" s="56"/>
      <c r="O123" s="56"/>
      <c r="P123" s="56"/>
      <c r="Q123" s="55">
        <f>F123*G123+F124*G124+F125*G125</f>
        <v>8600</v>
      </c>
      <c r="R123" s="56"/>
      <c r="S123" s="56"/>
      <c r="U123" s="101"/>
    </row>
    <row r="124" spans="1:21" s="57" customFormat="1" x14ac:dyDescent="0.25">
      <c r="A124" s="1"/>
      <c r="B124" s="203"/>
      <c r="C124" s="205"/>
      <c r="D124" s="210"/>
      <c r="E124" s="210"/>
      <c r="F124" s="26">
        <v>1</v>
      </c>
      <c r="G124" s="28">
        <v>1200</v>
      </c>
      <c r="H124" s="211"/>
      <c r="I124" s="213"/>
      <c r="J124" s="213"/>
      <c r="K124" s="216"/>
      <c r="L124" s="55"/>
      <c r="M124" s="56"/>
      <c r="N124" s="56"/>
      <c r="O124" s="56"/>
      <c r="P124" s="56"/>
      <c r="Q124" s="55"/>
      <c r="R124" s="56"/>
      <c r="S124" s="56"/>
    </row>
    <row r="125" spans="1:21" s="57" customFormat="1" x14ac:dyDescent="0.25">
      <c r="A125" s="1"/>
      <c r="B125" s="110"/>
      <c r="C125" s="27" t="s">
        <v>241</v>
      </c>
      <c r="D125" s="203"/>
      <c r="E125" s="203"/>
      <c r="F125" s="26">
        <v>1</v>
      </c>
      <c r="G125" s="28">
        <v>1400</v>
      </c>
      <c r="H125" s="209"/>
      <c r="I125" s="29"/>
      <c r="J125" s="29"/>
      <c r="K125" s="201"/>
      <c r="L125" s="55"/>
      <c r="M125" s="56"/>
      <c r="N125" s="56"/>
      <c r="O125" s="56"/>
      <c r="P125" s="56"/>
      <c r="Q125" s="55"/>
      <c r="R125" s="56"/>
      <c r="S125" s="56"/>
    </row>
    <row r="126" spans="1:21" s="57" customFormat="1" x14ac:dyDescent="0.25">
      <c r="A126" s="1">
        <f ca="1">IF(B126&gt;0,SUM(MAX($A$10:A127),1),0)</f>
        <v>67</v>
      </c>
      <c r="B126" s="26">
        <f>B123+1</f>
        <v>33</v>
      </c>
      <c r="C126" s="27" t="s">
        <v>219</v>
      </c>
      <c r="D126" s="26" t="s">
        <v>237</v>
      </c>
      <c r="E126" s="26" t="s">
        <v>26</v>
      </c>
      <c r="F126" s="26">
        <v>7</v>
      </c>
      <c r="G126" s="28">
        <v>980</v>
      </c>
      <c r="H126" s="29" t="str">
        <f>IF(AND(Q126&lt;3600,Q126&gt;0),"nhỏ",IF(AND(Q126&gt;=3600,Q126&lt;72000),"vừa",IF(Q126&lt;&gt;0,"lớn",0)))</f>
        <v>vừa</v>
      </c>
      <c r="I126" s="28">
        <v>200</v>
      </c>
      <c r="J126" s="28">
        <v>200</v>
      </c>
      <c r="K126" s="31" t="s">
        <v>220</v>
      </c>
      <c r="L126" s="55"/>
      <c r="M126" s="56"/>
      <c r="N126" s="56"/>
      <c r="O126" s="56"/>
      <c r="P126" s="56"/>
      <c r="Q126" s="55">
        <f>F126*G126</f>
        <v>6860</v>
      </c>
      <c r="R126" s="56"/>
      <c r="S126" s="56"/>
      <c r="U126" s="101"/>
    </row>
    <row r="127" spans="1:21" s="57" customFormat="1" x14ac:dyDescent="0.25">
      <c r="A127" s="1">
        <f ca="1">IF(B127&gt;0,SUM(MAX($A$10:A119),1),0)</f>
        <v>66</v>
      </c>
      <c r="B127" s="26">
        <f>B126+1</f>
        <v>34</v>
      </c>
      <c r="C127" s="27" t="s">
        <v>148</v>
      </c>
      <c r="D127" s="26" t="s">
        <v>237</v>
      </c>
      <c r="E127" s="26" t="s">
        <v>26</v>
      </c>
      <c r="F127" s="26">
        <v>7</v>
      </c>
      <c r="G127" s="28">
        <v>980</v>
      </c>
      <c r="H127" s="29" t="str">
        <f t="shared" si="11"/>
        <v>vừa</v>
      </c>
      <c r="I127" s="28">
        <v>230</v>
      </c>
      <c r="J127" s="28">
        <v>230</v>
      </c>
      <c r="K127" s="31" t="s">
        <v>218</v>
      </c>
      <c r="L127" s="55"/>
      <c r="M127" s="56"/>
      <c r="N127" s="56"/>
      <c r="O127" s="56"/>
      <c r="P127" s="56"/>
      <c r="Q127" s="55">
        <f>F127*G127</f>
        <v>6860</v>
      </c>
      <c r="R127" s="56"/>
      <c r="S127" s="56"/>
      <c r="U127" s="101"/>
    </row>
    <row r="128" spans="1:21" s="57" customFormat="1" x14ac:dyDescent="0.25">
      <c r="A128" s="1">
        <f ca="1">IF(B128&gt;0,SUM(MAX($A$10:A137),1),0)</f>
        <v>79</v>
      </c>
      <c r="B128" s="202">
        <f>B127+1</f>
        <v>35</v>
      </c>
      <c r="C128" s="27" t="s">
        <v>262</v>
      </c>
      <c r="D128" s="202" t="s">
        <v>237</v>
      </c>
      <c r="E128" s="202" t="s">
        <v>26</v>
      </c>
      <c r="F128" s="26">
        <v>1</v>
      </c>
      <c r="G128" s="28">
        <v>1400</v>
      </c>
      <c r="H128" s="208" t="str">
        <f>IF(AND(Q128&lt;3600,Q128&gt;0),"nhỏ",IF(AND(Q128&gt;=3600,Q128&lt;72000),"vừa",IF(Q128&lt;&gt;0,"lớn",0)))</f>
        <v>vừa</v>
      </c>
      <c r="I128" s="28">
        <v>140</v>
      </c>
      <c r="J128" s="28">
        <v>140</v>
      </c>
      <c r="K128" s="31" t="s">
        <v>263</v>
      </c>
      <c r="L128" s="55"/>
      <c r="M128" s="56"/>
      <c r="N128" s="56"/>
      <c r="O128" s="56"/>
      <c r="P128" s="56"/>
      <c r="Q128" s="55">
        <f>F128*G128+F129*G129</f>
        <v>5320</v>
      </c>
      <c r="R128" s="56"/>
      <c r="S128" s="56"/>
      <c r="U128" s="101"/>
    </row>
    <row r="129" spans="1:21" s="57" customFormat="1" x14ac:dyDescent="0.25">
      <c r="A129" s="1">
        <f>IF(B129&gt;0,SUM(MAX($A$10:A128),1),0)</f>
        <v>0</v>
      </c>
      <c r="B129" s="203"/>
      <c r="C129" s="27" t="s">
        <v>260</v>
      </c>
      <c r="D129" s="203"/>
      <c r="E129" s="203"/>
      <c r="F129" s="26">
        <v>4</v>
      </c>
      <c r="G129" s="28">
        <v>980</v>
      </c>
      <c r="H129" s="209"/>
      <c r="I129" s="28">
        <v>140</v>
      </c>
      <c r="J129" s="28">
        <v>140</v>
      </c>
      <c r="K129" s="31" t="s">
        <v>261</v>
      </c>
      <c r="L129" s="55"/>
      <c r="M129" s="56"/>
      <c r="N129" s="56"/>
      <c r="O129" s="56"/>
      <c r="P129" s="56"/>
      <c r="Q129" s="55"/>
      <c r="R129" s="56"/>
      <c r="S129" s="56"/>
    </row>
    <row r="130" spans="1:21" s="57" customFormat="1" x14ac:dyDescent="0.25">
      <c r="A130" s="1">
        <f ca="1">IF(B130&gt;0,SUM(MAX($A$10:A127),1),0)</f>
        <v>68</v>
      </c>
      <c r="B130" s="26">
        <f>B128+1</f>
        <v>36</v>
      </c>
      <c r="C130" s="27" t="s">
        <v>221</v>
      </c>
      <c r="D130" s="26" t="s">
        <v>237</v>
      </c>
      <c r="E130" s="26" t="s">
        <v>26</v>
      </c>
      <c r="F130" s="26">
        <v>4</v>
      </c>
      <c r="G130" s="28">
        <v>4000</v>
      </c>
      <c r="H130" s="29" t="str">
        <f t="shared" si="11"/>
        <v>vừa</v>
      </c>
      <c r="I130" s="28">
        <v>400</v>
      </c>
      <c r="J130" s="28">
        <v>575</v>
      </c>
      <c r="K130" s="31" t="s">
        <v>222</v>
      </c>
      <c r="L130" s="55"/>
      <c r="M130" s="56"/>
      <c r="N130" s="56"/>
      <c r="O130" s="56"/>
      <c r="P130" s="56"/>
      <c r="Q130" s="55">
        <f>F130*G130</f>
        <v>16000</v>
      </c>
      <c r="R130" s="56"/>
      <c r="S130" s="56"/>
      <c r="U130" s="101"/>
    </row>
    <row r="131" spans="1:21" s="57" customFormat="1" x14ac:dyDescent="0.25">
      <c r="A131" s="1">
        <f ca="1">IF(B131&gt;0,SUM(MAX($A$10:A137),1),0)</f>
        <v>78</v>
      </c>
      <c r="B131" s="202">
        <f>B130+1</f>
        <v>37</v>
      </c>
      <c r="C131" s="27" t="s">
        <v>256</v>
      </c>
      <c r="D131" s="202" t="s">
        <v>237</v>
      </c>
      <c r="E131" s="202" t="s">
        <v>26</v>
      </c>
      <c r="F131" s="26">
        <v>5</v>
      </c>
      <c r="G131" s="28">
        <v>4000</v>
      </c>
      <c r="H131" s="208" t="str">
        <f>IF(AND(Q131&lt;3600,Q131&gt;0),"nhỏ",IF(AND(Q131&gt;=3600,Q131&lt;72000),"vừa",IF(Q131&lt;&gt;0,"lớn",0)))</f>
        <v>vừa</v>
      </c>
      <c r="I131" s="28">
        <v>290</v>
      </c>
      <c r="J131" s="28">
        <v>852</v>
      </c>
      <c r="K131" s="31" t="s">
        <v>258</v>
      </c>
      <c r="L131" s="55"/>
      <c r="M131" s="56"/>
      <c r="N131" s="56"/>
      <c r="O131" s="56"/>
      <c r="P131" s="56"/>
      <c r="Q131" s="55">
        <f>F131*G131+F132*G132</f>
        <v>22000</v>
      </c>
      <c r="R131" s="56"/>
      <c r="S131" s="56"/>
      <c r="U131" s="101"/>
    </row>
    <row r="132" spans="1:21" s="57" customFormat="1" x14ac:dyDescent="0.25">
      <c r="A132" s="1">
        <f>IF(B132&gt;0,SUM(MAX($A$10:A131),1),0)</f>
        <v>0</v>
      </c>
      <c r="B132" s="203"/>
      <c r="C132" s="27" t="s">
        <v>259</v>
      </c>
      <c r="D132" s="203"/>
      <c r="E132" s="203"/>
      <c r="F132" s="26">
        <v>2</v>
      </c>
      <c r="G132" s="28">
        <v>1000</v>
      </c>
      <c r="H132" s="209"/>
      <c r="I132" s="29"/>
      <c r="J132" s="29"/>
      <c r="K132" s="54"/>
      <c r="L132" s="55"/>
      <c r="M132" s="56"/>
      <c r="N132" s="56"/>
      <c r="O132" s="56"/>
      <c r="P132" s="56"/>
      <c r="Q132" s="55"/>
      <c r="R132" s="56"/>
      <c r="S132" s="56"/>
    </row>
    <row r="133" spans="1:21" s="57" customFormat="1" x14ac:dyDescent="0.25">
      <c r="A133" s="1">
        <f ca="1">IF(B133&gt;0,SUM(MAX($A$10:A137),1),0)</f>
        <v>80</v>
      </c>
      <c r="B133" s="202">
        <f>B131+1</f>
        <v>38</v>
      </c>
      <c r="C133" s="204" t="s">
        <v>264</v>
      </c>
      <c r="D133" s="202" t="s">
        <v>265</v>
      </c>
      <c r="E133" s="202" t="s">
        <v>26</v>
      </c>
      <c r="F133" s="26">
        <v>3</v>
      </c>
      <c r="G133" s="28">
        <v>2000</v>
      </c>
      <c r="H133" s="208" t="str">
        <f>IF(AND(Q133&lt;3600,Q133&gt;0),"nhỏ",IF(AND(Q133&gt;=3600,Q133&lt;72000),"vừa",IF(Q133&lt;&gt;0,"lớn",0)))</f>
        <v>vừa</v>
      </c>
      <c r="I133" s="212">
        <v>120</v>
      </c>
      <c r="J133" s="212">
        <v>120</v>
      </c>
      <c r="K133" s="212" t="s">
        <v>266</v>
      </c>
      <c r="L133" s="55"/>
      <c r="M133" s="56"/>
      <c r="N133" s="56"/>
      <c r="O133" s="56"/>
      <c r="P133" s="56"/>
      <c r="Q133" s="55">
        <f>F133*G133+F134*G134+F135*G135</f>
        <v>8400</v>
      </c>
      <c r="R133" s="56"/>
      <c r="S133" s="56"/>
      <c r="U133" s="101"/>
    </row>
    <row r="134" spans="1:21" s="57" customFormat="1" x14ac:dyDescent="0.25">
      <c r="A134" s="1">
        <f>IF(B134&gt;0,SUM(MAX($A$10:A133),1),0)</f>
        <v>0</v>
      </c>
      <c r="B134" s="210"/>
      <c r="C134" s="205"/>
      <c r="D134" s="210"/>
      <c r="E134" s="210"/>
      <c r="F134" s="26">
        <v>1</v>
      </c>
      <c r="G134" s="28">
        <v>1200</v>
      </c>
      <c r="H134" s="211"/>
      <c r="I134" s="218"/>
      <c r="J134" s="218"/>
      <c r="K134" s="218"/>
      <c r="L134" s="55"/>
      <c r="M134" s="56"/>
      <c r="N134" s="56"/>
      <c r="O134" s="56"/>
      <c r="P134" s="56"/>
      <c r="Q134" s="55"/>
      <c r="R134" s="56"/>
      <c r="S134" s="56"/>
    </row>
    <row r="135" spans="1:21" s="57" customFormat="1" x14ac:dyDescent="0.25">
      <c r="A135" s="1">
        <f>IF(B135&gt;0,SUM(MAX($A$10:A134),1),0)</f>
        <v>0</v>
      </c>
      <c r="B135" s="203"/>
      <c r="C135" s="27" t="s">
        <v>267</v>
      </c>
      <c r="D135" s="203"/>
      <c r="E135" s="203"/>
      <c r="F135" s="26">
        <v>1</v>
      </c>
      <c r="G135" s="28">
        <v>1200</v>
      </c>
      <c r="H135" s="209"/>
      <c r="I135" s="213"/>
      <c r="J135" s="213"/>
      <c r="K135" s="213"/>
      <c r="L135" s="55"/>
      <c r="M135" s="56"/>
      <c r="N135" s="56"/>
      <c r="O135" s="56"/>
      <c r="P135" s="56"/>
      <c r="Q135" s="55"/>
      <c r="R135" s="56"/>
      <c r="S135" s="56"/>
    </row>
    <row r="136" spans="1:21" s="57" customFormat="1" x14ac:dyDescent="0.25">
      <c r="A136" s="1">
        <f ca="1">IF(B136&gt;0,SUM(MAX($A$10:A194),1),0)</f>
        <v>77</v>
      </c>
      <c r="B136" s="202">
        <f>B133+1</f>
        <v>39</v>
      </c>
      <c r="C136" s="27" t="s">
        <v>253</v>
      </c>
      <c r="D136" s="202" t="s">
        <v>265</v>
      </c>
      <c r="E136" s="202" t="s">
        <v>26</v>
      </c>
      <c r="F136" s="26">
        <v>6</v>
      </c>
      <c r="G136" s="28">
        <v>3700</v>
      </c>
      <c r="H136" s="208" t="str">
        <f>IF(AND(Q136&lt;3600,Q136&gt;0),"nhỏ",IF(AND(Q136&gt;=3600,Q136&lt;72000),"vừa",IF(Q136&lt;&gt;0,"lớn",0)))</f>
        <v>vừa</v>
      </c>
      <c r="I136" s="28">
        <v>290</v>
      </c>
      <c r="J136" s="28">
        <v>290</v>
      </c>
      <c r="K136" s="200" t="s">
        <v>254</v>
      </c>
      <c r="L136" s="55"/>
      <c r="M136" s="56"/>
      <c r="N136" s="56"/>
      <c r="O136" s="56"/>
      <c r="P136" s="56"/>
      <c r="Q136" s="55">
        <f>F136*G136+F137*G137</f>
        <v>23400</v>
      </c>
      <c r="R136" s="56"/>
      <c r="S136" s="56"/>
      <c r="U136" s="101"/>
    </row>
    <row r="137" spans="1:21" s="57" customFormat="1" x14ac:dyDescent="0.25">
      <c r="A137" s="1">
        <f>IF(B137&gt;0,SUM(MAX($A$10:A136),1),0)</f>
        <v>0</v>
      </c>
      <c r="B137" s="203"/>
      <c r="C137" s="27" t="s">
        <v>255</v>
      </c>
      <c r="D137" s="203"/>
      <c r="E137" s="203"/>
      <c r="F137" s="26">
        <v>1</v>
      </c>
      <c r="G137" s="28">
        <v>1200</v>
      </c>
      <c r="H137" s="209"/>
      <c r="I137" s="29"/>
      <c r="J137" s="29"/>
      <c r="K137" s="201"/>
      <c r="L137" s="55"/>
      <c r="M137" s="56"/>
      <c r="N137" s="56"/>
      <c r="O137" s="56"/>
      <c r="P137" s="56"/>
      <c r="Q137" s="55"/>
      <c r="R137" s="56"/>
      <c r="S137" s="56"/>
    </row>
    <row r="138" spans="1:21" s="57" customFormat="1" x14ac:dyDescent="0.25">
      <c r="A138" s="1">
        <f ca="1">IF(B138&gt;0,SUM(MAX($A$10:A137),1),0)</f>
        <v>81</v>
      </c>
      <c r="B138" s="202">
        <f>B136+1</f>
        <v>40</v>
      </c>
      <c r="C138" s="204" t="s">
        <v>268</v>
      </c>
      <c r="D138" s="202" t="s">
        <v>265</v>
      </c>
      <c r="E138" s="202" t="s">
        <v>26</v>
      </c>
      <c r="F138" s="26">
        <v>2</v>
      </c>
      <c r="G138" s="28">
        <v>2000</v>
      </c>
      <c r="H138" s="208" t="str">
        <f>IF(AND(Q138&lt;3600,Q138&gt;0),"nhỏ",IF(AND(Q138&gt;=3600,Q138&lt;72000),"vừa",IF(Q138&lt;&gt;0,"lớn",0)))</f>
        <v>vừa</v>
      </c>
      <c r="I138" s="226">
        <v>120</v>
      </c>
      <c r="J138" s="226">
        <v>120</v>
      </c>
      <c r="K138" s="226" t="s">
        <v>269</v>
      </c>
      <c r="L138" s="55"/>
      <c r="M138" s="56"/>
      <c r="N138" s="56"/>
      <c r="O138" s="56"/>
      <c r="P138" s="56"/>
      <c r="Q138" s="55">
        <f>F138*G138+F139*G139</f>
        <v>5200</v>
      </c>
      <c r="R138" s="56"/>
      <c r="S138" s="56"/>
      <c r="U138" s="101"/>
    </row>
    <row r="139" spans="1:21" s="57" customFormat="1" x14ac:dyDescent="0.25">
      <c r="A139" s="1">
        <f>IF(B139&gt;0,SUM(MAX($A$10:A138),1),0)</f>
        <v>0</v>
      </c>
      <c r="B139" s="203"/>
      <c r="C139" s="205"/>
      <c r="D139" s="203"/>
      <c r="E139" s="203"/>
      <c r="F139" s="26">
        <v>1</v>
      </c>
      <c r="G139" s="28">
        <v>1200</v>
      </c>
      <c r="H139" s="209"/>
      <c r="I139" s="227"/>
      <c r="J139" s="227"/>
      <c r="K139" s="227"/>
      <c r="L139" s="55"/>
      <c r="M139" s="56"/>
      <c r="N139" s="56"/>
      <c r="O139" s="56"/>
      <c r="P139" s="56"/>
      <c r="Q139" s="55"/>
      <c r="R139" s="56"/>
      <c r="S139" s="56"/>
    </row>
    <row r="140" spans="1:21" s="57" customFormat="1" x14ac:dyDescent="0.25">
      <c r="A140" s="1">
        <f ca="1">IF(B140&gt;0,SUM(MAX($A$10:A141),1),0)</f>
        <v>76</v>
      </c>
      <c r="B140" s="26">
        <f>B138+1</f>
        <v>41</v>
      </c>
      <c r="C140" s="27" t="s">
        <v>251</v>
      </c>
      <c r="D140" s="26" t="s">
        <v>265</v>
      </c>
      <c r="E140" s="26" t="s">
        <v>26</v>
      </c>
      <c r="F140" s="26">
        <v>6</v>
      </c>
      <c r="G140" s="28">
        <v>980</v>
      </c>
      <c r="H140" s="29" t="str">
        <f>IF(AND(Q140&lt;3600,Q140&gt;0),"nhỏ",IF(AND(Q140&gt;=3600,Q140&lt;72000),"vừa",IF(Q140&lt;&gt;0,"lớn",0)))</f>
        <v>vừa</v>
      </c>
      <c r="I140" s="29"/>
      <c r="J140" s="29"/>
      <c r="K140" s="31" t="s">
        <v>252</v>
      </c>
      <c r="L140" s="55"/>
      <c r="M140" s="56"/>
      <c r="N140" s="56"/>
      <c r="O140" s="56"/>
      <c r="P140" s="56"/>
      <c r="Q140" s="55">
        <f>F140*G140</f>
        <v>5880</v>
      </c>
      <c r="R140" s="56"/>
      <c r="S140" s="56"/>
      <c r="U140" s="101"/>
    </row>
    <row r="141" spans="1:21" s="57" customFormat="1" x14ac:dyDescent="0.25">
      <c r="A141" s="1">
        <f ca="1">IF(B141&gt;0,SUM(MAX($A$10:A194),1),0)</f>
        <v>75</v>
      </c>
      <c r="B141" s="26">
        <f>B140+1</f>
        <v>42</v>
      </c>
      <c r="C141" s="27" t="s">
        <v>249</v>
      </c>
      <c r="D141" s="26" t="s">
        <v>265</v>
      </c>
      <c r="E141" s="26" t="s">
        <v>26</v>
      </c>
      <c r="F141" s="26">
        <v>10</v>
      </c>
      <c r="G141" s="28">
        <v>8000</v>
      </c>
      <c r="H141" s="29" t="str">
        <f>IF(AND(Q141&lt;3600,Q141&gt;0),"nhỏ",IF(AND(Q141&gt;=3600,Q141&lt;72000),"vừa",IF(Q141&lt;&gt;0,"lớn",0)))</f>
        <v>lớn</v>
      </c>
      <c r="I141" s="28">
        <v>2800</v>
      </c>
      <c r="J141" s="28">
        <v>3000</v>
      </c>
      <c r="K141" s="31" t="s">
        <v>250</v>
      </c>
      <c r="L141" s="55"/>
      <c r="M141" s="56"/>
      <c r="N141" s="56"/>
      <c r="O141" s="56"/>
      <c r="P141" s="56"/>
      <c r="Q141" s="55">
        <f>F141*G141</f>
        <v>80000</v>
      </c>
      <c r="R141" s="56"/>
      <c r="S141" s="56"/>
      <c r="U141" s="101"/>
    </row>
    <row r="142" spans="1:21" s="57" customFormat="1" x14ac:dyDescent="0.25">
      <c r="A142" s="1"/>
      <c r="B142" s="202">
        <f>B141+1</f>
        <v>43</v>
      </c>
      <c r="C142" s="27" t="s">
        <v>245</v>
      </c>
      <c r="D142" s="202" t="s">
        <v>265</v>
      </c>
      <c r="E142" s="202" t="s">
        <v>26</v>
      </c>
      <c r="F142" s="26">
        <v>14</v>
      </c>
      <c r="G142" s="28">
        <v>4000</v>
      </c>
      <c r="H142" s="208" t="str">
        <f>IF(AND(Q142&lt;3600,Q142&gt;0),"nhỏ",IF(AND(Q142&gt;=3600,Q142&lt;72000),"vừa",IF(Q142&lt;&gt;0,"lớn",0)))</f>
        <v>vừa</v>
      </c>
      <c r="I142" s="212">
        <v>650</v>
      </c>
      <c r="J142" s="212">
        <v>650</v>
      </c>
      <c r="K142" s="200" t="s">
        <v>247</v>
      </c>
      <c r="L142" s="55"/>
      <c r="M142" s="56"/>
      <c r="N142" s="56"/>
      <c r="O142" s="56"/>
      <c r="P142" s="56"/>
      <c r="Q142" s="55">
        <f>F142*G142+F143*G143</f>
        <v>67200</v>
      </c>
      <c r="R142" s="56"/>
      <c r="S142" s="56"/>
      <c r="U142" s="101"/>
    </row>
    <row r="143" spans="1:21" s="57" customFormat="1" x14ac:dyDescent="0.25">
      <c r="A143" s="1">
        <f>IF(B143&gt;0,SUM(MAX($A$10:A185),1),0)</f>
        <v>0</v>
      </c>
      <c r="B143" s="203"/>
      <c r="C143" s="27" t="s">
        <v>248</v>
      </c>
      <c r="D143" s="203"/>
      <c r="E143" s="203"/>
      <c r="F143" s="26">
        <v>8</v>
      </c>
      <c r="G143" s="28">
        <v>1400</v>
      </c>
      <c r="H143" s="209"/>
      <c r="I143" s="213"/>
      <c r="J143" s="213"/>
      <c r="K143" s="201"/>
      <c r="L143" s="55"/>
      <c r="M143" s="56"/>
      <c r="N143" s="56"/>
      <c r="O143" s="56"/>
      <c r="P143" s="56"/>
      <c r="Q143" s="55"/>
      <c r="R143" s="56"/>
      <c r="S143" s="56"/>
    </row>
    <row r="144" spans="1:21" s="57" customFormat="1" x14ac:dyDescent="0.25">
      <c r="A144" s="1">
        <f ca="1">IF(B144&gt;0,SUM(MAX($A$10:A194),1),0)</f>
        <v>82</v>
      </c>
      <c r="B144" s="26">
        <f>B142+1</f>
        <v>44</v>
      </c>
      <c r="C144" s="27" t="s">
        <v>270</v>
      </c>
      <c r="D144" s="26" t="s">
        <v>265</v>
      </c>
      <c r="E144" s="26" t="s">
        <v>26</v>
      </c>
      <c r="F144" s="26">
        <v>5</v>
      </c>
      <c r="G144" s="28">
        <v>980</v>
      </c>
      <c r="H144" s="29" t="str">
        <f>IF(AND(Q144&lt;3600,Q144&gt;0),"nhỏ",IF(AND(Q144&gt;=3600,Q144&lt;72000),"vừa",IF(Q144&lt;&gt;0,"lớn",0)))</f>
        <v>vừa</v>
      </c>
      <c r="I144" s="28">
        <v>130</v>
      </c>
      <c r="J144" s="28">
        <v>130</v>
      </c>
      <c r="K144" s="31" t="s">
        <v>271</v>
      </c>
      <c r="L144" s="55"/>
      <c r="M144" s="56"/>
      <c r="N144" s="56"/>
      <c r="O144" s="56"/>
      <c r="P144" s="56"/>
      <c r="Q144" s="55">
        <f>G144*F144</f>
        <v>4900</v>
      </c>
      <c r="R144" s="56"/>
      <c r="S144" s="56"/>
      <c r="U144" s="101"/>
    </row>
    <row r="145" spans="1:21" s="57" customFormat="1" x14ac:dyDescent="0.25">
      <c r="A145" s="1">
        <f ca="1">IF(B145&gt;0,SUM(MAX($A$10:A194),1),0)</f>
        <v>83</v>
      </c>
      <c r="B145" s="202">
        <f>B144+1</f>
        <v>45</v>
      </c>
      <c r="C145" s="27" t="s">
        <v>272</v>
      </c>
      <c r="D145" s="202" t="s">
        <v>265</v>
      </c>
      <c r="E145" s="202" t="s">
        <v>26</v>
      </c>
      <c r="F145" s="26">
        <v>6</v>
      </c>
      <c r="G145" s="28">
        <v>4000</v>
      </c>
      <c r="H145" s="208" t="str">
        <f>IF(AND(Q145&lt;3600,Q145&gt;0),"nhỏ",IF(AND(Q145&gt;=3600,Q145&lt;72000),"vừa",IF(Q145&lt;&gt;0,"lớn",0)))</f>
        <v>vừa</v>
      </c>
      <c r="I145" s="28">
        <v>250</v>
      </c>
      <c r="J145" s="28">
        <v>250</v>
      </c>
      <c r="K145" s="200" t="s">
        <v>273</v>
      </c>
      <c r="L145" s="55"/>
      <c r="M145" s="56"/>
      <c r="N145" s="56"/>
      <c r="O145" s="56"/>
      <c r="P145" s="56"/>
      <c r="Q145" s="55">
        <f>F145*G145+F146*G146</f>
        <v>27000</v>
      </c>
      <c r="R145" s="56"/>
      <c r="S145" s="56"/>
      <c r="U145" s="101"/>
    </row>
    <row r="146" spans="1:21" s="57" customFormat="1" x14ac:dyDescent="0.25">
      <c r="A146" s="1">
        <f>IF(B146&gt;0,SUM(MAX($A$10:A145),1),0)</f>
        <v>0</v>
      </c>
      <c r="B146" s="203"/>
      <c r="C146" s="27" t="s">
        <v>274</v>
      </c>
      <c r="D146" s="203"/>
      <c r="E146" s="203"/>
      <c r="F146" s="26">
        <v>3</v>
      </c>
      <c r="G146" s="28">
        <v>1000</v>
      </c>
      <c r="H146" s="209"/>
      <c r="I146" s="29"/>
      <c r="J146" s="29"/>
      <c r="K146" s="201"/>
      <c r="L146" s="55"/>
      <c r="M146" s="56"/>
      <c r="N146" s="56"/>
      <c r="O146" s="56"/>
      <c r="P146" s="56"/>
      <c r="Q146" s="55"/>
      <c r="R146" s="56"/>
      <c r="S146" s="56"/>
    </row>
    <row r="147" spans="1:21" s="57" customFormat="1" x14ac:dyDescent="0.25">
      <c r="A147" s="1">
        <f ca="1">IF(B147&gt;0,SUM(MAX($A$10:A195),1),0)</f>
        <v>90</v>
      </c>
      <c r="B147" s="202">
        <f>B145+1</f>
        <v>46</v>
      </c>
      <c r="C147" s="204" t="s">
        <v>283</v>
      </c>
      <c r="D147" s="202" t="s">
        <v>265</v>
      </c>
      <c r="E147" s="202" t="s">
        <v>26</v>
      </c>
      <c r="F147" s="26">
        <v>2</v>
      </c>
      <c r="G147" s="28">
        <v>2500</v>
      </c>
      <c r="H147" s="208" t="str">
        <f>IF(AND(Q147&lt;3600,Q147&gt;0),"nhỏ",IF(AND(Q147&gt;=3600,Q147&lt;72000),"vừa",IF(Q147&lt;&gt;0,"lớn",0)))</f>
        <v>vừa</v>
      </c>
      <c r="I147" s="212">
        <v>180</v>
      </c>
      <c r="J147" s="212">
        <v>180</v>
      </c>
      <c r="K147" s="200" t="s">
        <v>286</v>
      </c>
      <c r="L147" s="55"/>
      <c r="M147" s="56"/>
      <c r="N147" s="56"/>
      <c r="O147" s="56"/>
      <c r="P147" s="56"/>
      <c r="Q147" s="55">
        <f>G147*F147+F148*G148</f>
        <v>10880</v>
      </c>
      <c r="R147" s="56"/>
      <c r="S147" s="56"/>
      <c r="U147" s="101"/>
    </row>
    <row r="148" spans="1:21" s="57" customFormat="1" x14ac:dyDescent="0.25">
      <c r="A148" s="1">
        <f>IF(B148&gt;0,SUM(MAX($A$10:A147),1),0)</f>
        <v>0</v>
      </c>
      <c r="B148" s="203"/>
      <c r="C148" s="205"/>
      <c r="D148" s="203"/>
      <c r="E148" s="203"/>
      <c r="F148" s="26">
        <v>6</v>
      </c>
      <c r="G148" s="28">
        <v>980</v>
      </c>
      <c r="H148" s="209"/>
      <c r="I148" s="213"/>
      <c r="J148" s="213"/>
      <c r="K148" s="201"/>
      <c r="L148" s="55"/>
      <c r="M148" s="56"/>
      <c r="N148" s="56"/>
      <c r="O148" s="56"/>
      <c r="P148" s="56"/>
      <c r="Q148" s="55"/>
      <c r="R148" s="56"/>
      <c r="S148" s="56"/>
    </row>
    <row r="149" spans="1:21" s="57" customFormat="1" x14ac:dyDescent="0.25">
      <c r="A149" s="1">
        <f ca="1">IF(B149&gt;0,SUM(MAX($A$10:A194),1),0)</f>
        <v>88</v>
      </c>
      <c r="B149" s="26">
        <f>B147+1</f>
        <v>47</v>
      </c>
      <c r="C149" s="27" t="s">
        <v>282</v>
      </c>
      <c r="D149" s="26" t="s">
        <v>265</v>
      </c>
      <c r="E149" s="26" t="s">
        <v>26</v>
      </c>
      <c r="F149" s="26">
        <v>2</v>
      </c>
      <c r="G149" s="28">
        <v>980</v>
      </c>
      <c r="H149" s="29" t="str">
        <f>IF(AND(Q149&lt;3600,Q149&gt;0),"nhỏ",IF(AND(Q149&gt;=3600,Q149&lt;72000),"vừa",IF(Q149&lt;&gt;0,"lớn",0)))</f>
        <v>nhỏ</v>
      </c>
      <c r="I149" s="28">
        <v>80</v>
      </c>
      <c r="J149" s="28">
        <v>80</v>
      </c>
      <c r="K149" s="31" t="s">
        <v>284</v>
      </c>
      <c r="L149" s="55"/>
      <c r="M149" s="56"/>
      <c r="N149" s="56"/>
      <c r="O149" s="56"/>
      <c r="P149" s="56"/>
      <c r="Q149" s="55">
        <f>G149*F149</f>
        <v>1960</v>
      </c>
      <c r="R149" s="56"/>
      <c r="S149" s="56"/>
      <c r="U149" s="101"/>
    </row>
    <row r="150" spans="1:21" s="57" customFormat="1" x14ac:dyDescent="0.25">
      <c r="A150" s="1">
        <f ca="1">IF(B150&gt;0,SUM(MAX($A$10:A195),1),0)</f>
        <v>98</v>
      </c>
      <c r="B150" s="26">
        <f>B149+1</f>
        <v>48</v>
      </c>
      <c r="C150" s="27" t="s">
        <v>302</v>
      </c>
      <c r="D150" s="26" t="s">
        <v>265</v>
      </c>
      <c r="E150" s="26" t="s">
        <v>26</v>
      </c>
      <c r="F150" s="26">
        <v>2</v>
      </c>
      <c r="G150" s="28">
        <v>980</v>
      </c>
      <c r="H150" s="29" t="str">
        <f>IF(AND(Q150&lt;3600,Q150&gt;0),"nhỏ",IF(AND(Q150&gt;=3600,Q150&lt;72000),"vừa",IF(Q150&lt;&gt;0,"lớn",0)))</f>
        <v>nhỏ</v>
      </c>
      <c r="I150" s="28">
        <v>75</v>
      </c>
      <c r="J150" s="28">
        <v>75</v>
      </c>
      <c r="K150" s="31" t="s">
        <v>303</v>
      </c>
      <c r="L150" s="55"/>
      <c r="M150" s="56"/>
      <c r="N150" s="56"/>
      <c r="O150" s="56"/>
      <c r="P150" s="56"/>
      <c r="Q150" s="55">
        <f>G150*F150</f>
        <v>1960</v>
      </c>
      <c r="R150" s="56"/>
      <c r="S150" s="56"/>
      <c r="U150" s="101"/>
    </row>
    <row r="151" spans="1:21" s="57" customFormat="1" x14ac:dyDescent="0.25">
      <c r="A151" s="1">
        <f ca="1">IF(B151&gt;0,SUM(MAX($A$10:A195),1),0)</f>
        <v>91</v>
      </c>
      <c r="B151" s="202">
        <f>B150+1</f>
        <v>49</v>
      </c>
      <c r="C151" s="204" t="s">
        <v>287</v>
      </c>
      <c r="D151" s="202" t="s">
        <v>265</v>
      </c>
      <c r="E151" s="202" t="s">
        <v>26</v>
      </c>
      <c r="F151" s="26">
        <v>3</v>
      </c>
      <c r="G151" s="28">
        <v>1200</v>
      </c>
      <c r="H151" s="208" t="str">
        <f>IF(AND(Q151&lt;3600,Q151&gt;0),"nhỏ",IF(AND(Q151&gt;=3600,Q151&lt;72000),"vừa",IF(Q151&lt;&gt;0,"lớn",0)))</f>
        <v>vừa</v>
      </c>
      <c r="I151" s="220">
        <v>130</v>
      </c>
      <c r="J151" s="220">
        <v>130</v>
      </c>
      <c r="K151" s="220" t="s">
        <v>288</v>
      </c>
      <c r="L151" s="55"/>
      <c r="M151" s="56"/>
      <c r="N151" s="56"/>
      <c r="O151" s="56"/>
      <c r="P151" s="56"/>
      <c r="Q151" s="55">
        <f>G151*F151+F152*G152</f>
        <v>5560</v>
      </c>
      <c r="R151" s="56"/>
      <c r="S151" s="56"/>
      <c r="U151" s="101"/>
    </row>
    <row r="152" spans="1:21" s="57" customFormat="1" x14ac:dyDescent="0.25">
      <c r="A152" s="1">
        <f>IF(B152&gt;0,SUM(MAX($A$10:A151),1),0)</f>
        <v>0</v>
      </c>
      <c r="B152" s="203"/>
      <c r="C152" s="205"/>
      <c r="D152" s="203"/>
      <c r="E152" s="203"/>
      <c r="F152" s="26">
        <v>2</v>
      </c>
      <c r="G152" s="28">
        <v>980</v>
      </c>
      <c r="H152" s="209"/>
      <c r="I152" s="221"/>
      <c r="J152" s="221"/>
      <c r="K152" s="221"/>
      <c r="L152" s="55"/>
      <c r="M152" s="56"/>
      <c r="N152" s="56"/>
      <c r="O152" s="56"/>
      <c r="P152" s="56"/>
      <c r="Q152" s="55"/>
      <c r="R152" s="56"/>
      <c r="S152" s="56"/>
    </row>
    <row r="153" spans="1:21" s="57" customFormat="1" x14ac:dyDescent="0.25">
      <c r="A153" s="1">
        <f ca="1">IF(B153&gt;0,SUM(MAX($A$10:A195),1),0)</f>
        <v>97</v>
      </c>
      <c r="B153" s="26">
        <f>B151+1</f>
        <v>50</v>
      </c>
      <c r="C153" s="27" t="s">
        <v>300</v>
      </c>
      <c r="D153" s="26" t="s">
        <v>265</v>
      </c>
      <c r="E153" s="26" t="s">
        <v>26</v>
      </c>
      <c r="F153" s="26">
        <v>6</v>
      </c>
      <c r="G153" s="28">
        <v>980</v>
      </c>
      <c r="H153" s="29" t="str">
        <f>IF(AND(Q153&lt;3600,Q153&gt;0),"nhỏ",IF(AND(Q153&gt;=3600,Q153&lt;72000),"vừa",IF(Q153&lt;&gt;0,"lớn",0)))</f>
        <v>vừa</v>
      </c>
      <c r="I153" s="28">
        <v>200</v>
      </c>
      <c r="J153" s="28">
        <v>200</v>
      </c>
      <c r="K153" s="31" t="s">
        <v>301</v>
      </c>
      <c r="L153" s="55"/>
      <c r="M153" s="56"/>
      <c r="N153" s="56"/>
      <c r="O153" s="56"/>
      <c r="P153" s="56"/>
      <c r="Q153" s="55">
        <f>G153*F153</f>
        <v>5880</v>
      </c>
      <c r="R153" s="56"/>
      <c r="S153" s="56"/>
      <c r="U153" s="101"/>
    </row>
    <row r="154" spans="1:21" s="57" customFormat="1" x14ac:dyDescent="0.25">
      <c r="A154" s="1">
        <f ca="1">IF(B154&gt;0,SUM(MAX($A$10:A195),1),0)</f>
        <v>94</v>
      </c>
      <c r="B154" s="26">
        <f>B153+1</f>
        <v>51</v>
      </c>
      <c r="C154" s="27" t="s">
        <v>294</v>
      </c>
      <c r="D154" s="26" t="s">
        <v>265</v>
      </c>
      <c r="E154" s="26" t="s">
        <v>26</v>
      </c>
      <c r="F154" s="26">
        <v>1</v>
      </c>
      <c r="G154" s="28">
        <v>1200</v>
      </c>
      <c r="H154" s="29" t="str">
        <f>IF(AND(Q154&lt;3600,Q154&gt;0),"nhỏ",IF(AND(Q154&gt;=3600,Q154&lt;72000),"vừa",IF(Q154&lt;&gt;0,"lớn",0)))</f>
        <v>nhỏ</v>
      </c>
      <c r="I154" s="28">
        <v>95</v>
      </c>
      <c r="J154" s="28">
        <v>95</v>
      </c>
      <c r="K154" s="31" t="s">
        <v>295</v>
      </c>
      <c r="L154" s="55"/>
      <c r="M154" s="56"/>
      <c r="N154" s="56"/>
      <c r="O154" s="56"/>
      <c r="P154" s="56"/>
      <c r="Q154" s="55">
        <f>G154*F154</f>
        <v>1200</v>
      </c>
      <c r="R154" s="56"/>
      <c r="S154" s="56"/>
      <c r="U154" s="101"/>
    </row>
    <row r="155" spans="1:21" s="57" customFormat="1" x14ac:dyDescent="0.25">
      <c r="A155" s="1">
        <f ca="1">IF(B155&gt;0,SUM(MAX($A$10:A195),1),0)</f>
        <v>92</v>
      </c>
      <c r="B155" s="26">
        <f>B154+1</f>
        <v>52</v>
      </c>
      <c r="C155" s="27" t="s">
        <v>289</v>
      </c>
      <c r="D155" s="26" t="s">
        <v>265</v>
      </c>
      <c r="E155" s="26" t="s">
        <v>26</v>
      </c>
      <c r="F155" s="26">
        <v>4</v>
      </c>
      <c r="G155" s="28">
        <v>980</v>
      </c>
      <c r="H155" s="29" t="str">
        <f>IF(AND(Q155&lt;3600,Q155&gt;0),"nhỏ",IF(AND(Q155&gt;=3600,Q155&lt;72000),"vừa",IF(Q155&lt;&gt;0,"lớn",0)))</f>
        <v>vừa</v>
      </c>
      <c r="I155" s="28">
        <v>150</v>
      </c>
      <c r="J155" s="28">
        <v>150</v>
      </c>
      <c r="K155" s="31" t="s">
        <v>291</v>
      </c>
      <c r="L155" s="55"/>
      <c r="M155" s="56"/>
      <c r="N155" s="56"/>
      <c r="O155" s="56"/>
      <c r="P155" s="56"/>
      <c r="Q155" s="55">
        <f>G155*F155</f>
        <v>3920</v>
      </c>
      <c r="R155" s="56"/>
      <c r="S155" s="56"/>
      <c r="U155" s="101"/>
    </row>
    <row r="156" spans="1:21" s="57" customFormat="1" x14ac:dyDescent="0.25">
      <c r="A156" s="1">
        <f ca="1">IF(B156&gt;0,SUM(MAX($A$10:A195),1),0)</f>
        <v>95</v>
      </c>
      <c r="B156" s="26">
        <f>B155+1</f>
        <v>53</v>
      </c>
      <c r="C156" s="27" t="s">
        <v>296</v>
      </c>
      <c r="D156" s="26" t="s">
        <v>265</v>
      </c>
      <c r="E156" s="26" t="s">
        <v>26</v>
      </c>
      <c r="F156" s="26">
        <v>6</v>
      </c>
      <c r="G156" s="28">
        <v>1400</v>
      </c>
      <c r="H156" s="29" t="str">
        <f>IF(AND(Q156&lt;3600,Q156&gt;0),"nhỏ",IF(AND(Q156&gt;=3600,Q156&lt;72000),"vừa",IF(Q156&lt;&gt;0,"lớn",0)))</f>
        <v>vừa</v>
      </c>
      <c r="I156" s="28">
        <v>220</v>
      </c>
      <c r="J156" s="28">
        <v>220</v>
      </c>
      <c r="K156" s="31" t="s">
        <v>297</v>
      </c>
      <c r="L156" s="55"/>
      <c r="M156" s="56"/>
      <c r="N156" s="56"/>
      <c r="O156" s="56"/>
      <c r="P156" s="56"/>
      <c r="Q156" s="55">
        <f>G156*F156</f>
        <v>8400</v>
      </c>
      <c r="R156" s="56"/>
      <c r="S156" s="56"/>
      <c r="U156" s="101"/>
    </row>
    <row r="157" spans="1:21" s="57" customFormat="1" x14ac:dyDescent="0.25">
      <c r="A157" s="1">
        <f ca="1">IF(B157&gt;0,SUM(MAX($A$10:A164),1),0)</f>
        <v>72</v>
      </c>
      <c r="B157" s="202">
        <f>B156+1</f>
        <v>54</v>
      </c>
      <c r="C157" s="27" t="s">
        <v>231</v>
      </c>
      <c r="D157" s="202" t="s">
        <v>237</v>
      </c>
      <c r="E157" s="202" t="s">
        <v>224</v>
      </c>
      <c r="F157" s="26">
        <v>4</v>
      </c>
      <c r="G157" s="28">
        <v>980</v>
      </c>
      <c r="H157" s="208" t="str">
        <f>IF(AND(Q157&lt;3600,Q157&gt;0),"nhỏ",IF(AND(Q157&gt;=3600,Q157&lt;72000),"vừa",IF(Q157&lt;&gt;0,"lớn",0)))</f>
        <v>vừa</v>
      </c>
      <c r="I157" s="28">
        <v>165</v>
      </c>
      <c r="J157" s="28">
        <v>165</v>
      </c>
      <c r="K157" s="200" t="s">
        <v>232</v>
      </c>
      <c r="L157" s="55"/>
      <c r="M157" s="56"/>
      <c r="N157" s="56"/>
      <c r="O157" s="56"/>
      <c r="P157" s="56"/>
      <c r="Q157" s="55">
        <f>F157*G157+F158*G158</f>
        <v>5320</v>
      </c>
      <c r="R157" s="56"/>
      <c r="S157" s="56"/>
    </row>
    <row r="158" spans="1:21" s="57" customFormat="1" x14ac:dyDescent="0.25">
      <c r="A158" s="1">
        <f>IF(B158&gt;0,SUM(MAX($A$10:A157),1),0)</f>
        <v>0</v>
      </c>
      <c r="B158" s="203"/>
      <c r="C158" s="27" t="s">
        <v>233</v>
      </c>
      <c r="D158" s="203"/>
      <c r="E158" s="203"/>
      <c r="F158" s="26">
        <v>1</v>
      </c>
      <c r="G158" s="28">
        <v>1400</v>
      </c>
      <c r="H158" s="209"/>
      <c r="I158" s="29"/>
      <c r="J158" s="29"/>
      <c r="K158" s="201"/>
      <c r="L158" s="55"/>
      <c r="M158" s="56"/>
      <c r="N158" s="56"/>
      <c r="O158" s="56"/>
      <c r="P158" s="56"/>
      <c r="Q158" s="55"/>
      <c r="R158" s="56"/>
      <c r="S158" s="56"/>
    </row>
    <row r="159" spans="1:21" s="57" customFormat="1" x14ac:dyDescent="0.25">
      <c r="A159" s="1">
        <f ca="1">IF(B159&gt;0,SUM(MAX($A$10:A164),1),0)</f>
        <v>71</v>
      </c>
      <c r="B159" s="26">
        <f>B157+1</f>
        <v>55</v>
      </c>
      <c r="C159" s="27" t="s">
        <v>228</v>
      </c>
      <c r="D159" s="26" t="s">
        <v>237</v>
      </c>
      <c r="E159" s="26" t="s">
        <v>224</v>
      </c>
      <c r="F159" s="26">
        <v>3</v>
      </c>
      <c r="G159" s="28">
        <v>980</v>
      </c>
      <c r="H159" s="29" t="str">
        <f>IF(AND(Q159&lt;3600,Q159&gt;0),"nhỏ",IF(AND(Q159&gt;=3600,Q159&lt;72000),"vừa",IF(Q159&lt;&gt;0,"lớn",0)))</f>
        <v>nhỏ</v>
      </c>
      <c r="I159" s="28">
        <v>130</v>
      </c>
      <c r="J159" s="28">
        <v>130</v>
      </c>
      <c r="K159" s="31" t="s">
        <v>230</v>
      </c>
      <c r="L159" s="55"/>
      <c r="M159" s="56"/>
      <c r="N159" s="56"/>
      <c r="O159" s="56"/>
      <c r="P159" s="56"/>
      <c r="Q159" s="55">
        <f>F159*G159</f>
        <v>2940</v>
      </c>
      <c r="R159" s="56"/>
      <c r="S159" s="56"/>
    </row>
    <row r="160" spans="1:21" s="57" customFormat="1" x14ac:dyDescent="0.25">
      <c r="A160" s="1">
        <f ca="1">IF(B160&gt;0,SUM(MAX($A$10:A130),1),0)</f>
        <v>69</v>
      </c>
      <c r="B160" s="202">
        <f>B159+1</f>
        <v>56</v>
      </c>
      <c r="C160" s="204" t="s">
        <v>223</v>
      </c>
      <c r="D160" s="202" t="s">
        <v>237</v>
      </c>
      <c r="E160" s="202" t="s">
        <v>224</v>
      </c>
      <c r="F160" s="26">
        <v>3</v>
      </c>
      <c r="G160" s="28">
        <v>980</v>
      </c>
      <c r="H160" s="29" t="str">
        <f>IF(AND(Q160&lt;3600,Q160&gt;0),"nhỏ",IF(AND(Q160&gt;=3600,Q160&lt;72000),"vừa",IF(Q160&lt;&gt;0,"lớn",0)))</f>
        <v>vừa</v>
      </c>
      <c r="I160" s="212">
        <v>150</v>
      </c>
      <c r="J160" s="212">
        <v>150</v>
      </c>
      <c r="K160" s="212" t="s">
        <v>225</v>
      </c>
      <c r="L160" s="55"/>
      <c r="M160" s="56"/>
      <c r="N160" s="56"/>
      <c r="O160" s="56"/>
      <c r="P160" s="56"/>
      <c r="Q160" s="55">
        <f>F160*G160+F161*G161</f>
        <v>3940</v>
      </c>
      <c r="R160" s="56"/>
      <c r="S160" s="56"/>
    </row>
    <row r="161" spans="1:19" s="57" customFormat="1" x14ac:dyDescent="0.25">
      <c r="A161" s="1">
        <f>IF(B161&gt;0,SUM(MAX($A$10:A160),1),0)</f>
        <v>0</v>
      </c>
      <c r="B161" s="203"/>
      <c r="C161" s="205"/>
      <c r="D161" s="203"/>
      <c r="E161" s="203"/>
      <c r="F161" s="26">
        <v>1</v>
      </c>
      <c r="G161" s="28">
        <v>1000</v>
      </c>
      <c r="H161" s="29"/>
      <c r="I161" s="213"/>
      <c r="J161" s="213"/>
      <c r="K161" s="213"/>
      <c r="L161" s="55"/>
      <c r="M161" s="56"/>
      <c r="N161" s="56"/>
      <c r="O161" s="56"/>
      <c r="P161" s="56"/>
      <c r="Q161" s="55"/>
      <c r="R161" s="56"/>
      <c r="S161" s="56"/>
    </row>
    <row r="162" spans="1:19" s="57" customFormat="1" x14ac:dyDescent="0.25">
      <c r="A162" s="1">
        <f ca="1">IF(B162&gt;0,SUM(MAX($A$10:A161),1),0)</f>
        <v>70</v>
      </c>
      <c r="B162" s="202">
        <f>B160+1</f>
        <v>57</v>
      </c>
      <c r="C162" s="204" t="s">
        <v>207</v>
      </c>
      <c r="D162" s="202" t="s">
        <v>237</v>
      </c>
      <c r="E162" s="202" t="s">
        <v>224</v>
      </c>
      <c r="F162" s="26">
        <v>5</v>
      </c>
      <c r="G162" s="28">
        <v>960</v>
      </c>
      <c r="H162" s="208" t="str">
        <f t="shared" si="11"/>
        <v>vừa</v>
      </c>
      <c r="I162" s="212">
        <v>350</v>
      </c>
      <c r="J162" s="212">
        <v>350</v>
      </c>
      <c r="K162" s="212" t="s">
        <v>226</v>
      </c>
      <c r="L162" s="55"/>
      <c r="M162" s="56"/>
      <c r="N162" s="56"/>
      <c r="O162" s="56"/>
      <c r="P162" s="56"/>
      <c r="Q162" s="55">
        <f>F162*G162+F163*G163+F164*G164</f>
        <v>10200</v>
      </c>
      <c r="R162" s="56"/>
      <c r="S162" s="56"/>
    </row>
    <row r="163" spans="1:19" s="57" customFormat="1" x14ac:dyDescent="0.25">
      <c r="A163" s="1">
        <f>IF(B163&gt;0,SUM(MAX($A$10:A162),1),0)</f>
        <v>0</v>
      </c>
      <c r="B163" s="210"/>
      <c r="C163" s="205"/>
      <c r="D163" s="210"/>
      <c r="E163" s="210"/>
      <c r="F163" s="26">
        <v>5</v>
      </c>
      <c r="G163" s="28">
        <v>800</v>
      </c>
      <c r="H163" s="211"/>
      <c r="I163" s="213"/>
      <c r="J163" s="213"/>
      <c r="K163" s="218"/>
      <c r="L163" s="55"/>
      <c r="M163" s="56"/>
      <c r="N163" s="56"/>
      <c r="O163" s="56"/>
      <c r="P163" s="56"/>
      <c r="Q163" s="55"/>
      <c r="R163" s="56"/>
      <c r="S163" s="56"/>
    </row>
    <row r="164" spans="1:19" s="57" customFormat="1" x14ac:dyDescent="0.25">
      <c r="A164" s="1">
        <f>IF(B164&gt;0,SUM(MAX($A$10:A163),1),0)</f>
        <v>0</v>
      </c>
      <c r="B164" s="203"/>
      <c r="C164" s="27" t="s">
        <v>227</v>
      </c>
      <c r="D164" s="203"/>
      <c r="E164" s="203"/>
      <c r="F164" s="26">
        <v>1</v>
      </c>
      <c r="G164" s="28">
        <v>1400</v>
      </c>
      <c r="H164" s="209"/>
      <c r="I164" s="29"/>
      <c r="J164" s="29"/>
      <c r="K164" s="213"/>
      <c r="L164" s="55"/>
      <c r="M164" s="56"/>
      <c r="N164" s="56"/>
      <c r="O164" s="56"/>
      <c r="P164" s="56"/>
      <c r="Q164" s="55"/>
      <c r="R164" s="56"/>
      <c r="S164" s="56"/>
    </row>
    <row r="165" spans="1:19" s="57" customFormat="1" x14ac:dyDescent="0.25">
      <c r="A165" s="1">
        <f ca="1">IF(B165&gt;0,SUM(MAX($A$10:A195),1),0)</f>
        <v>96</v>
      </c>
      <c r="B165" s="26">
        <f>B162+1</f>
        <v>58</v>
      </c>
      <c r="C165" s="27" t="s">
        <v>298</v>
      </c>
      <c r="D165" s="26" t="s">
        <v>265</v>
      </c>
      <c r="E165" s="26" t="s">
        <v>158</v>
      </c>
      <c r="F165" s="26">
        <v>3</v>
      </c>
      <c r="G165" s="28">
        <v>980</v>
      </c>
      <c r="H165" s="29" t="str">
        <f>IF(AND(Q165&lt;3600,Q165&gt;0),"nhỏ",IF(AND(Q165&gt;=3600,Q165&lt;72000),"vừa",IF(Q165&lt;&gt;0,"lớn",0)))</f>
        <v>nhỏ</v>
      </c>
      <c r="I165" s="28">
        <v>150</v>
      </c>
      <c r="J165" s="28">
        <v>150</v>
      </c>
      <c r="K165" s="28" t="s">
        <v>299</v>
      </c>
      <c r="L165" s="55"/>
      <c r="M165" s="56"/>
      <c r="N165" s="56"/>
      <c r="O165" s="56"/>
      <c r="P165" s="56"/>
      <c r="Q165" s="55">
        <f>G165*F165</f>
        <v>2940</v>
      </c>
      <c r="R165" s="56"/>
      <c r="S165" s="56"/>
    </row>
    <row r="166" spans="1:19" s="57" customFormat="1" x14ac:dyDescent="0.25">
      <c r="A166" s="1">
        <f ca="1">IF(B166&gt;0,SUM(MAX($A$10:A195),1),0)</f>
        <v>99</v>
      </c>
      <c r="B166" s="26">
        <f>B165+1</f>
        <v>59</v>
      </c>
      <c r="C166" s="27" t="s">
        <v>304</v>
      </c>
      <c r="D166" s="26" t="s">
        <v>265</v>
      </c>
      <c r="E166" s="26" t="s">
        <v>158</v>
      </c>
      <c r="F166" s="26">
        <v>3</v>
      </c>
      <c r="G166" s="28">
        <v>980</v>
      </c>
      <c r="H166" s="29" t="str">
        <f>IF(AND(Q166&lt;3600,Q166&gt;0),"nhỏ",IF(AND(Q166&gt;=3600,Q166&lt;72000),"vừa",IF(Q166&lt;&gt;0,"lớn",0)))</f>
        <v>nhỏ</v>
      </c>
      <c r="I166" s="28">
        <v>140</v>
      </c>
      <c r="J166" s="28">
        <v>140</v>
      </c>
      <c r="K166" s="28" t="s">
        <v>305</v>
      </c>
      <c r="L166" s="55"/>
      <c r="M166" s="56"/>
      <c r="N166" s="56"/>
      <c r="O166" s="56"/>
      <c r="P166" s="56"/>
      <c r="Q166" s="55">
        <f t="shared" ref="Q166" si="15">G166*F166</f>
        <v>2940</v>
      </c>
      <c r="R166" s="56"/>
      <c r="S166" s="56"/>
    </row>
    <row r="167" spans="1:19" s="57" customFormat="1" x14ac:dyDescent="0.25">
      <c r="A167" s="1">
        <f ca="1">IF(B167&gt;0,SUM(MAX($A$10:A194),1),0)</f>
        <v>87</v>
      </c>
      <c r="B167" s="202">
        <f>B166+1</f>
        <v>60</v>
      </c>
      <c r="C167" s="204" t="s">
        <v>280</v>
      </c>
      <c r="D167" s="202" t="s">
        <v>157</v>
      </c>
      <c r="E167" s="202" t="s">
        <v>158</v>
      </c>
      <c r="F167" s="26">
        <v>3</v>
      </c>
      <c r="G167" s="28">
        <v>980</v>
      </c>
      <c r="H167" s="208" t="str">
        <f>IF(AND(Q167&lt;3600,Q167&gt;0),"nhỏ",IF(AND(Q167&gt;=3600,Q167&lt;72000),"vừa",IF(Q167&lt;&gt;0,"lớn",0)))</f>
        <v>vừa</v>
      </c>
      <c r="I167" s="212">
        <v>240</v>
      </c>
      <c r="J167" s="212">
        <v>240</v>
      </c>
      <c r="K167" s="212" t="s">
        <v>281</v>
      </c>
      <c r="L167" s="55"/>
      <c r="M167" s="56"/>
      <c r="N167" s="56"/>
      <c r="O167" s="56"/>
      <c r="P167" s="56"/>
      <c r="Q167" s="55">
        <f>G167*F167+F168*G168</f>
        <v>4860</v>
      </c>
      <c r="R167" s="56"/>
      <c r="S167" s="56"/>
    </row>
    <row r="168" spans="1:19" s="57" customFormat="1" x14ac:dyDescent="0.25">
      <c r="A168" s="1">
        <f>IF(B168&gt;0,SUM(MAX($A$10:A167),1),0)</f>
        <v>0</v>
      </c>
      <c r="B168" s="203"/>
      <c r="C168" s="205"/>
      <c r="D168" s="203"/>
      <c r="E168" s="203"/>
      <c r="F168" s="26">
        <v>2</v>
      </c>
      <c r="G168" s="28">
        <v>960</v>
      </c>
      <c r="H168" s="209"/>
      <c r="I168" s="213"/>
      <c r="J168" s="213"/>
      <c r="K168" s="213"/>
      <c r="L168" s="55"/>
      <c r="M168" s="56"/>
      <c r="N168" s="56"/>
      <c r="O168" s="56"/>
      <c r="P168" s="56"/>
      <c r="Q168" s="55"/>
      <c r="R168" s="56"/>
      <c r="S168" s="56"/>
    </row>
    <row r="169" spans="1:19" s="57" customFormat="1" x14ac:dyDescent="0.25">
      <c r="A169" s="1">
        <f ca="1">IF(B169&gt;0,SUM(MAX($A$10:A195),1),0)</f>
        <v>93</v>
      </c>
      <c r="B169" s="26">
        <f>B167+1</f>
        <v>61</v>
      </c>
      <c r="C169" s="27" t="s">
        <v>292</v>
      </c>
      <c r="D169" s="26" t="s">
        <v>265</v>
      </c>
      <c r="E169" s="26" t="s">
        <v>158</v>
      </c>
      <c r="F169" s="26">
        <v>4</v>
      </c>
      <c r="G169" s="28">
        <v>1500</v>
      </c>
      <c r="H169" s="29" t="str">
        <f>IF(AND(Q169&lt;3600,Q169&gt;0),"nhỏ",IF(AND(Q169&gt;=3600,Q169&lt;72000),"vừa",IF(Q169&lt;&gt;0,"lớn",0)))</f>
        <v>vừa</v>
      </c>
      <c r="I169" s="28">
        <v>180</v>
      </c>
      <c r="J169" s="28">
        <v>180</v>
      </c>
      <c r="K169" s="31" t="s">
        <v>293</v>
      </c>
      <c r="L169" s="55"/>
      <c r="M169" s="56"/>
      <c r="N169" s="56"/>
      <c r="O169" s="56"/>
      <c r="P169" s="56"/>
      <c r="Q169" s="55">
        <f>G169*F169</f>
        <v>6000</v>
      </c>
      <c r="R169" s="56"/>
      <c r="S169" s="56"/>
    </row>
    <row r="170" spans="1:19" s="57" customFormat="1" x14ac:dyDescent="0.25">
      <c r="A170" s="1">
        <f ca="1">IF(B170&gt;0,SUM(MAX($A$10:A194),1),0)</f>
        <v>85</v>
      </c>
      <c r="B170" s="26">
        <f>B169+1</f>
        <v>62</v>
      </c>
      <c r="C170" s="27" t="s">
        <v>276</v>
      </c>
      <c r="D170" s="26" t="s">
        <v>157</v>
      </c>
      <c r="E170" s="26" t="s">
        <v>158</v>
      </c>
      <c r="F170" s="26">
        <v>4</v>
      </c>
      <c r="G170" s="28">
        <v>1400</v>
      </c>
      <c r="H170" s="29" t="str">
        <f>IF(AND(Q170&lt;3600,Q170&gt;0),"nhỏ",IF(AND(Q170&gt;=3600,Q170&lt;72000),"vừa",IF(Q170&lt;&gt;0,"lớn",0)))</f>
        <v>vừa</v>
      </c>
      <c r="I170" s="28">
        <v>230</v>
      </c>
      <c r="J170" s="28">
        <v>230</v>
      </c>
      <c r="K170" s="31" t="s">
        <v>277</v>
      </c>
      <c r="L170" s="55"/>
      <c r="M170" s="56"/>
      <c r="N170" s="56"/>
      <c r="O170" s="56"/>
      <c r="P170" s="56"/>
      <c r="Q170" s="55">
        <f>G170*F170</f>
        <v>5600</v>
      </c>
      <c r="R170" s="56"/>
      <c r="S170" s="56"/>
    </row>
    <row r="171" spans="1:19" s="57" customFormat="1" x14ac:dyDescent="0.25">
      <c r="A171" s="1">
        <f ca="1">IF(B171&gt;0,SUM(MAX($A$10:A194),1),0)</f>
        <v>86</v>
      </c>
      <c r="B171" s="26">
        <f>B170+1</f>
        <v>63</v>
      </c>
      <c r="C171" s="27" t="s">
        <v>278</v>
      </c>
      <c r="D171" s="26" t="s">
        <v>157</v>
      </c>
      <c r="E171" s="26" t="s">
        <v>158</v>
      </c>
      <c r="F171" s="26">
        <v>4</v>
      </c>
      <c r="G171" s="28">
        <v>4000</v>
      </c>
      <c r="H171" s="29" t="str">
        <f>IF(AND(Q171&lt;3600,Q171&gt;0),"nhỏ",IF(AND(Q171&gt;=3600,Q171&lt;72000),"vừa",IF(Q171&lt;&gt;0,"lớn",0)))</f>
        <v>vừa</v>
      </c>
      <c r="I171" s="28">
        <v>160</v>
      </c>
      <c r="J171" s="28">
        <v>160</v>
      </c>
      <c r="K171" s="31" t="s">
        <v>279</v>
      </c>
      <c r="L171" s="55"/>
      <c r="M171" s="56"/>
      <c r="N171" s="56"/>
      <c r="O171" s="56"/>
      <c r="P171" s="56"/>
      <c r="Q171" s="55">
        <f>G171*F171</f>
        <v>16000</v>
      </c>
      <c r="R171" s="56"/>
      <c r="S171" s="56"/>
    </row>
    <row r="172" spans="1:19" s="57" customFormat="1" x14ac:dyDescent="0.25">
      <c r="A172" s="1">
        <f ca="1">IF(B172&gt;0,SUM(MAX($A$10:A220),1),0)</f>
        <v>123</v>
      </c>
      <c r="B172" s="26">
        <f>B171+1</f>
        <v>64</v>
      </c>
      <c r="C172" s="27" t="s">
        <v>331</v>
      </c>
      <c r="D172" s="26" t="s">
        <v>157</v>
      </c>
      <c r="E172" s="26" t="s">
        <v>158</v>
      </c>
      <c r="F172" s="26">
        <v>4</v>
      </c>
      <c r="G172" s="28">
        <v>4000</v>
      </c>
      <c r="H172" s="29" t="str">
        <f>IF(AND(Q172&lt;3600,Q172&gt;0),"nhỏ",IF(AND(Q172&gt;=3600,Q172&lt;72000),"vừa",IF(Q172&lt;&gt;0,"lớn",0)))</f>
        <v>vừa</v>
      </c>
      <c r="I172" s="28">
        <v>210</v>
      </c>
      <c r="J172" s="28">
        <v>210</v>
      </c>
      <c r="K172" s="28" t="s">
        <v>190</v>
      </c>
      <c r="L172" s="55"/>
      <c r="M172" s="56"/>
      <c r="N172" s="56"/>
      <c r="O172" s="56"/>
      <c r="P172" s="56"/>
      <c r="Q172" s="55">
        <f>F172*G172</f>
        <v>16000</v>
      </c>
      <c r="R172" s="56"/>
      <c r="S172" s="56"/>
    </row>
    <row r="173" spans="1:19" s="57" customFormat="1" ht="16.5" customHeight="1" x14ac:dyDescent="0.25">
      <c r="A173" s="1">
        <f ca="1">IF(B173&gt;0,SUM(MAX($A$10:A195),1),0)</f>
        <v>100</v>
      </c>
      <c r="B173" s="202">
        <f>B172+1</f>
        <v>65</v>
      </c>
      <c r="C173" s="107" t="s">
        <v>508</v>
      </c>
      <c r="D173" s="202" t="s">
        <v>157</v>
      </c>
      <c r="E173" s="202" t="s">
        <v>175</v>
      </c>
      <c r="F173" s="26">
        <v>2</v>
      </c>
      <c r="G173" s="28">
        <v>980</v>
      </c>
      <c r="H173" s="208" t="str">
        <f>IF(AND(Q173&lt;3600,Q173&gt;0),"nhỏ",IF(AND(Q173&gt;=3600,Q173&lt;72000),"vừa",IF(Q173&lt;&gt;0,"lớn",0)))</f>
        <v>nhỏ</v>
      </c>
      <c r="I173" s="28">
        <v>70</v>
      </c>
      <c r="J173" s="29"/>
      <c r="K173" s="31"/>
      <c r="L173" s="55"/>
      <c r="M173" s="56"/>
      <c r="N173" s="56"/>
      <c r="O173" s="56"/>
      <c r="P173" s="56"/>
      <c r="Q173" s="55">
        <f>G173*F173+F174*G174</f>
        <v>3160</v>
      </c>
      <c r="R173" s="56"/>
      <c r="S173" s="56"/>
    </row>
    <row r="174" spans="1:19" s="57" customFormat="1" x14ac:dyDescent="0.25">
      <c r="A174" s="1">
        <f>IF(B174&gt;0,SUM(MAX($A$10:A173),1),0)</f>
        <v>0</v>
      </c>
      <c r="B174" s="203"/>
      <c r="C174" s="107" t="s">
        <v>509</v>
      </c>
      <c r="D174" s="203"/>
      <c r="E174" s="203"/>
      <c r="F174" s="26">
        <v>1</v>
      </c>
      <c r="G174" s="28">
        <v>1200</v>
      </c>
      <c r="H174" s="209"/>
      <c r="I174" s="29"/>
      <c r="J174" s="29"/>
      <c r="K174" s="54"/>
      <c r="L174" s="55"/>
      <c r="M174" s="56"/>
      <c r="N174" s="56"/>
      <c r="O174" s="56"/>
      <c r="P174" s="56"/>
      <c r="Q174" s="55"/>
      <c r="R174" s="56"/>
      <c r="S174" s="56"/>
    </row>
    <row r="175" spans="1:19" s="57" customFormat="1" x14ac:dyDescent="0.25">
      <c r="A175" s="1">
        <f ca="1">IF(B175&gt;0,SUM(MAX($A$10:A174),1),0)</f>
        <v>101</v>
      </c>
      <c r="B175" s="202">
        <f>B173+1</f>
        <v>66</v>
      </c>
      <c r="C175" s="204" t="s">
        <v>307</v>
      </c>
      <c r="D175" s="202" t="s">
        <v>157</v>
      </c>
      <c r="E175" s="202" t="s">
        <v>175</v>
      </c>
      <c r="F175" s="26">
        <v>2</v>
      </c>
      <c r="G175" s="28">
        <v>1200</v>
      </c>
      <c r="H175" s="208" t="str">
        <f>IF(AND(Q175&lt;3600,Q175&gt;0),"nhỏ",IF(AND(Q175&gt;=3600,Q175&lt;72000),"vừa",IF(Q175&lt;&gt;0,"lớn",0)))</f>
        <v>vừa</v>
      </c>
      <c r="I175" s="212">
        <v>290</v>
      </c>
      <c r="J175" s="212">
        <v>290</v>
      </c>
      <c r="K175" s="222"/>
      <c r="L175" s="55"/>
      <c r="M175" s="56"/>
      <c r="N175" s="56"/>
      <c r="O175" s="56"/>
      <c r="P175" s="56"/>
      <c r="Q175" s="55">
        <f>G175*F175+F176*G176</f>
        <v>11400</v>
      </c>
      <c r="R175" s="56"/>
      <c r="S175" s="56"/>
    </row>
    <row r="176" spans="1:19" s="57" customFormat="1" x14ac:dyDescent="0.25">
      <c r="A176" s="1">
        <f>IF(B176&gt;0,SUM(MAX($A$10:A175),1),0)</f>
        <v>0</v>
      </c>
      <c r="B176" s="203"/>
      <c r="C176" s="205"/>
      <c r="D176" s="203"/>
      <c r="E176" s="203"/>
      <c r="F176" s="26">
        <v>9</v>
      </c>
      <c r="G176" s="28">
        <v>1000</v>
      </c>
      <c r="H176" s="209"/>
      <c r="I176" s="213"/>
      <c r="J176" s="213"/>
      <c r="K176" s="223"/>
      <c r="L176" s="55"/>
      <c r="M176" s="56"/>
      <c r="N176" s="56"/>
      <c r="O176" s="56"/>
      <c r="P176" s="56"/>
      <c r="Q176" s="55"/>
      <c r="R176" s="56"/>
      <c r="S176" s="56"/>
    </row>
    <row r="177" spans="1:21" s="57" customFormat="1" x14ac:dyDescent="0.25">
      <c r="A177" s="1">
        <f ca="1">IF(B177&gt;0,SUM(MAX($A$10:A214),1),0)</f>
        <v>116</v>
      </c>
      <c r="B177" s="26">
        <f>B175+1</f>
        <v>67</v>
      </c>
      <c r="C177" s="27" t="s">
        <v>324</v>
      </c>
      <c r="D177" s="26" t="s">
        <v>157</v>
      </c>
      <c r="E177" s="26" t="s">
        <v>175</v>
      </c>
      <c r="F177" s="26">
        <v>2</v>
      </c>
      <c r="G177" s="28">
        <v>980</v>
      </c>
      <c r="H177" s="29" t="str">
        <f>IF(AND(Q177&lt;3600,Q177&gt;0),"nhỏ",IF(AND(Q177&gt;=3600,Q177&lt;72000),"vừa",IF(Q177&lt;&gt;0,"lớn",0)))</f>
        <v>nhỏ</v>
      </c>
      <c r="I177" s="28">
        <v>140</v>
      </c>
      <c r="J177" s="28">
        <v>140</v>
      </c>
      <c r="K177" s="54"/>
      <c r="L177" s="55"/>
      <c r="M177" s="56"/>
      <c r="N177" s="56"/>
      <c r="O177" s="56"/>
      <c r="P177" s="56"/>
      <c r="Q177" s="55">
        <f>F177*G177</f>
        <v>1960</v>
      </c>
      <c r="R177" s="56"/>
      <c r="S177" s="56"/>
    </row>
    <row r="178" spans="1:21" s="57" customFormat="1" x14ac:dyDescent="0.25">
      <c r="A178" s="1">
        <f ca="1">IF(B178&gt;0,SUM(MAX($A$10:A226),1),0)</f>
        <v>128</v>
      </c>
      <c r="B178" s="26">
        <f>B177+1</f>
        <v>68</v>
      </c>
      <c r="C178" s="27" t="s">
        <v>337</v>
      </c>
      <c r="D178" s="26" t="s">
        <v>157</v>
      </c>
      <c r="E178" s="26" t="s">
        <v>175</v>
      </c>
      <c r="F178" s="26">
        <v>3</v>
      </c>
      <c r="G178" s="28">
        <v>1400</v>
      </c>
      <c r="H178" s="29" t="str">
        <f>IF(AND(Q178&lt;3600,Q178&gt;0),"nhỏ",IF(AND(Q178&gt;=3600,Q178&lt;72000),"vừa",IF(Q178&lt;&gt;0,"lớn",0)))</f>
        <v>vừa</v>
      </c>
      <c r="I178" s="28">
        <v>70</v>
      </c>
      <c r="J178" s="28">
        <v>70</v>
      </c>
      <c r="K178" s="54"/>
      <c r="L178" s="55"/>
      <c r="M178" s="56"/>
      <c r="N178" s="56"/>
      <c r="O178" s="56"/>
      <c r="P178" s="56"/>
      <c r="Q178" s="55">
        <f>F178*G178</f>
        <v>4200</v>
      </c>
      <c r="R178" s="56"/>
      <c r="S178" s="56"/>
    </row>
    <row r="179" spans="1:21" s="53" customFormat="1" x14ac:dyDescent="0.25">
      <c r="A179" s="1">
        <f ca="1">IF(B179&gt;0,SUM(MAX($A$10:A178),1),0)</f>
        <v>129</v>
      </c>
      <c r="B179" s="202">
        <f>B178+1</f>
        <v>69</v>
      </c>
      <c r="C179" s="204" t="s">
        <v>338</v>
      </c>
      <c r="D179" s="202" t="s">
        <v>157</v>
      </c>
      <c r="E179" s="202" t="s">
        <v>175</v>
      </c>
      <c r="F179" s="26">
        <v>1</v>
      </c>
      <c r="G179" s="28">
        <v>1200</v>
      </c>
      <c r="H179" s="208" t="str">
        <f>IF(AND(Q179&lt;3600,Q179&gt;0),"nhỏ",IF(AND(Q179&gt;=3600,Q179&lt;72000),"vừa",IF(Q179&lt;&gt;0,"lớn",0)))</f>
        <v>nhỏ</v>
      </c>
      <c r="I179" s="220">
        <v>65</v>
      </c>
      <c r="J179" s="220">
        <v>65</v>
      </c>
      <c r="K179" s="50"/>
      <c r="L179" s="51"/>
      <c r="M179" s="52"/>
      <c r="N179" s="52"/>
      <c r="O179" s="52"/>
      <c r="P179" s="52"/>
      <c r="Q179" s="55">
        <f>F179*G179+F180*G180</f>
        <v>2180</v>
      </c>
      <c r="R179" s="52"/>
      <c r="S179" s="52"/>
    </row>
    <row r="180" spans="1:21" s="57" customFormat="1" x14ac:dyDescent="0.25">
      <c r="A180" s="1">
        <f>IF(B180&gt;0,SUM(MAX($A$10:A179),1),0)</f>
        <v>0</v>
      </c>
      <c r="B180" s="203"/>
      <c r="C180" s="205"/>
      <c r="D180" s="203"/>
      <c r="E180" s="203"/>
      <c r="F180" s="26">
        <v>1</v>
      </c>
      <c r="G180" s="28">
        <v>980</v>
      </c>
      <c r="H180" s="209"/>
      <c r="I180" s="221"/>
      <c r="J180" s="221"/>
      <c r="K180" s="54"/>
      <c r="L180" s="55"/>
      <c r="M180" s="56"/>
      <c r="N180" s="56"/>
      <c r="O180" s="56"/>
      <c r="P180" s="56"/>
      <c r="Q180" s="55"/>
      <c r="R180" s="56"/>
      <c r="S180" s="56"/>
    </row>
    <row r="181" spans="1:21" s="57" customFormat="1" x14ac:dyDescent="0.25">
      <c r="A181" s="1">
        <f ca="1">IF(B181&gt;0,SUM(MAX($A$10:A180),1),0)</f>
        <v>130</v>
      </c>
      <c r="B181" s="26">
        <f>B179+1</f>
        <v>70</v>
      </c>
      <c r="C181" s="27" t="s">
        <v>339</v>
      </c>
      <c r="D181" s="26" t="s">
        <v>157</v>
      </c>
      <c r="E181" s="26" t="s">
        <v>175</v>
      </c>
      <c r="F181" s="26">
        <v>4</v>
      </c>
      <c r="G181" s="28">
        <v>2100</v>
      </c>
      <c r="H181" s="29" t="str">
        <f>IF(AND(Q181&lt;3600,Q181&gt;0),"nhỏ",IF(AND(Q181&gt;=3600,Q181&lt;72000),"vừa",IF(Q181&lt;&gt;0,"lớn",0)))</f>
        <v>vừa</v>
      </c>
      <c r="I181" s="28">
        <v>831</v>
      </c>
      <c r="J181" s="28">
        <v>831</v>
      </c>
      <c r="K181" s="54"/>
      <c r="L181" s="55"/>
      <c r="M181" s="56"/>
      <c r="N181" s="56"/>
      <c r="O181" s="56"/>
      <c r="P181" s="56"/>
      <c r="Q181" s="55">
        <f>F181*G181</f>
        <v>8400</v>
      </c>
      <c r="R181" s="56"/>
      <c r="S181" s="56"/>
    </row>
    <row r="182" spans="1:21" s="57" customFormat="1" x14ac:dyDescent="0.25">
      <c r="A182" s="1">
        <f ca="1">IF(B182&gt;0,SUM(MAX($A$10:A220),1),0)</f>
        <v>121</v>
      </c>
      <c r="B182" s="26">
        <f>B181+1</f>
        <v>71</v>
      </c>
      <c r="C182" s="27" t="s">
        <v>329</v>
      </c>
      <c r="D182" s="26" t="s">
        <v>157</v>
      </c>
      <c r="E182" s="26" t="s">
        <v>175</v>
      </c>
      <c r="F182" s="26">
        <v>4</v>
      </c>
      <c r="G182" s="28">
        <v>980</v>
      </c>
      <c r="H182" s="29" t="str">
        <f>IF(AND(Q182&lt;3600,Q182&gt;0),"nhỏ",IF(AND(Q182&gt;=3600,Q182&lt;72000),"vừa",IF(Q182&lt;&gt;0,"lớn",0)))</f>
        <v>vừa</v>
      </c>
      <c r="I182" s="28">
        <v>135</v>
      </c>
      <c r="J182" s="28">
        <v>135</v>
      </c>
      <c r="K182" s="54"/>
      <c r="L182" s="55"/>
      <c r="M182" s="56"/>
      <c r="N182" s="56"/>
      <c r="O182" s="56"/>
      <c r="P182" s="56"/>
      <c r="Q182" s="55">
        <f>F182*G182</f>
        <v>3920</v>
      </c>
      <c r="R182" s="56"/>
      <c r="S182" s="56"/>
    </row>
    <row r="183" spans="1:21" s="57" customFormat="1" x14ac:dyDescent="0.25">
      <c r="A183" s="1">
        <f ca="1">IF(B183&gt;0,SUM(MAX($A$10:A182),1),0)</f>
        <v>122</v>
      </c>
      <c r="B183" s="26">
        <f>B182+1</f>
        <v>72</v>
      </c>
      <c r="C183" s="27" t="s">
        <v>330</v>
      </c>
      <c r="D183" s="26" t="s">
        <v>157</v>
      </c>
      <c r="E183" s="26" t="s">
        <v>175</v>
      </c>
      <c r="F183" s="26">
        <v>4</v>
      </c>
      <c r="G183" s="28">
        <v>980</v>
      </c>
      <c r="H183" s="29" t="str">
        <f>IF(AND(Q183&lt;3600,Q183&gt;0),"nhỏ",IF(AND(Q183&gt;=3600,Q183&lt;72000),"vừa",IF(Q183&lt;&gt;0,"lớn",0)))</f>
        <v>vừa</v>
      </c>
      <c r="I183" s="28">
        <v>195</v>
      </c>
      <c r="J183" s="28">
        <v>195</v>
      </c>
      <c r="K183" s="54"/>
      <c r="L183" s="55"/>
      <c r="M183" s="56"/>
      <c r="N183" s="56"/>
      <c r="O183" s="56"/>
      <c r="P183" s="56"/>
      <c r="Q183" s="55">
        <f>F183*G183</f>
        <v>3920</v>
      </c>
      <c r="R183" s="56"/>
      <c r="S183" s="56"/>
    </row>
    <row r="184" spans="1:21" s="57" customFormat="1" x14ac:dyDescent="0.25">
      <c r="A184" s="1">
        <f ca="1">IF(B184&gt;0,SUM(MAX($A$10:A164),1),0)</f>
        <v>74</v>
      </c>
      <c r="B184" s="202">
        <f>B183+1</f>
        <v>73</v>
      </c>
      <c r="C184" s="27" t="s">
        <v>237</v>
      </c>
      <c r="D184" s="202" t="s">
        <v>237</v>
      </c>
      <c r="E184" s="202" t="s">
        <v>139</v>
      </c>
      <c r="F184" s="26">
        <v>3</v>
      </c>
      <c r="G184" s="28">
        <v>2500</v>
      </c>
      <c r="H184" s="208" t="str">
        <f t="shared" si="11"/>
        <v>vừa</v>
      </c>
      <c r="I184" s="28">
        <v>220</v>
      </c>
      <c r="J184" s="28">
        <v>220</v>
      </c>
      <c r="K184" s="54"/>
      <c r="L184" s="55"/>
      <c r="M184" s="56"/>
      <c r="N184" s="56"/>
      <c r="O184" s="56"/>
      <c r="P184" s="56"/>
      <c r="Q184" s="55">
        <f>F184*G184+F185*G185</f>
        <v>8700</v>
      </c>
      <c r="R184" s="56"/>
      <c r="S184" s="56"/>
    </row>
    <row r="185" spans="1:21" s="57" customFormat="1" x14ac:dyDescent="0.25">
      <c r="A185" s="1">
        <f>IF(B185&gt;0,SUM(MAX($A$10:A184),1),0)</f>
        <v>0</v>
      </c>
      <c r="B185" s="203"/>
      <c r="C185" s="27" t="s">
        <v>238</v>
      </c>
      <c r="D185" s="203"/>
      <c r="E185" s="203"/>
      <c r="F185" s="26">
        <v>1</v>
      </c>
      <c r="G185" s="28">
        <v>1200</v>
      </c>
      <c r="H185" s="209"/>
      <c r="I185" s="29"/>
      <c r="J185" s="29"/>
      <c r="K185" s="54"/>
      <c r="L185" s="55"/>
      <c r="M185" s="56"/>
      <c r="N185" s="56"/>
      <c r="O185" s="56"/>
      <c r="P185" s="56"/>
      <c r="Q185" s="55"/>
      <c r="R185" s="56"/>
      <c r="S185" s="56"/>
    </row>
    <row r="186" spans="1:21" s="57" customFormat="1" x14ac:dyDescent="0.25">
      <c r="A186" s="1">
        <f ca="1">IF(B186&gt;0,SUM(MAX($A$10:A194),1),0)</f>
        <v>84</v>
      </c>
      <c r="B186" s="26">
        <f>B184+1</f>
        <v>74</v>
      </c>
      <c r="C186" s="27" t="s">
        <v>275</v>
      </c>
      <c r="D186" s="26" t="s">
        <v>265</v>
      </c>
      <c r="E186" s="26" t="s">
        <v>202</v>
      </c>
      <c r="F186" s="26">
        <v>3</v>
      </c>
      <c r="G186" s="28">
        <v>1120</v>
      </c>
      <c r="H186" s="29" t="str">
        <f>IF(AND(Q186&lt;3600,Q186&gt;0),"nhỏ",IF(AND(Q186&gt;=3600,Q186&lt;72000),"vừa",IF(Q186&lt;&gt;0,"lớn",0)))</f>
        <v>nhỏ</v>
      </c>
      <c r="I186" s="29"/>
      <c r="J186" s="29"/>
      <c r="K186" s="54"/>
      <c r="L186" s="55"/>
      <c r="M186" s="56"/>
      <c r="N186" s="56"/>
      <c r="O186" s="56"/>
      <c r="P186" s="56"/>
      <c r="Q186" s="55">
        <f>G186*F186</f>
        <v>3360</v>
      </c>
      <c r="R186" s="56"/>
      <c r="S186" s="56"/>
    </row>
    <row r="187" spans="1:21" x14ac:dyDescent="0.25">
      <c r="A187" s="1">
        <f ca="1">IF(B187&gt;0,SUM(MAX($A$10:A73),1),0)</f>
        <v>35</v>
      </c>
      <c r="B187" s="202">
        <f>B186+1</f>
        <v>75</v>
      </c>
      <c r="C187" s="204" t="s">
        <v>137</v>
      </c>
      <c r="D187" s="202" t="s">
        <v>524</v>
      </c>
      <c r="E187" s="206" t="s">
        <v>83</v>
      </c>
      <c r="F187" s="26">
        <v>4</v>
      </c>
      <c r="G187" s="28">
        <v>900</v>
      </c>
      <c r="H187" s="208" t="str">
        <f>IF(AND(Q187&lt;3600,Q187&gt;0),"nhỏ",IF(AND(Q187&gt;=3600,Q187&lt;72000),"vừa",IF(Q187&lt;&gt;0,"lớn",0)))</f>
        <v>vừa</v>
      </c>
      <c r="I187" s="212">
        <v>256</v>
      </c>
      <c r="J187" s="212">
        <v>256</v>
      </c>
      <c r="K187" s="206"/>
      <c r="L187" s="15"/>
      <c r="M187" s="16"/>
      <c r="N187" s="16"/>
      <c r="O187" s="16"/>
      <c r="P187" s="16"/>
      <c r="Q187" s="15">
        <f>F187*G187+F188*G188</f>
        <v>8100</v>
      </c>
      <c r="R187" s="16"/>
      <c r="S187" s="16"/>
      <c r="U187" s="3"/>
    </row>
    <row r="188" spans="1:21" x14ac:dyDescent="0.25">
      <c r="A188" s="1">
        <f>IF(B188&gt;0,SUM(MAX($A$10:A187),1),0)</f>
        <v>0</v>
      </c>
      <c r="B188" s="203"/>
      <c r="C188" s="205"/>
      <c r="D188" s="203"/>
      <c r="E188" s="207"/>
      <c r="F188" s="26">
        <v>3</v>
      </c>
      <c r="G188" s="28">
        <v>1500</v>
      </c>
      <c r="H188" s="209"/>
      <c r="I188" s="213"/>
      <c r="J188" s="213"/>
      <c r="K188" s="207"/>
      <c r="L188" s="15"/>
      <c r="M188" s="16"/>
      <c r="N188" s="16"/>
      <c r="O188" s="16"/>
      <c r="P188" s="16"/>
      <c r="Q188" s="15"/>
      <c r="R188" s="16"/>
      <c r="S188" s="16"/>
      <c r="U188" s="3"/>
    </row>
    <row r="189" spans="1:21" s="57" customFormat="1" x14ac:dyDescent="0.25">
      <c r="A189" s="1"/>
      <c r="B189" s="202">
        <f>B187+1</f>
        <v>76</v>
      </c>
      <c r="C189" s="204" t="s">
        <v>242</v>
      </c>
      <c r="D189" s="202" t="s">
        <v>524</v>
      </c>
      <c r="E189" s="202" t="s">
        <v>83</v>
      </c>
      <c r="F189" s="26">
        <v>5</v>
      </c>
      <c r="G189" s="28">
        <v>900</v>
      </c>
      <c r="H189" s="208" t="str">
        <f t="shared" si="11"/>
        <v>vừa</v>
      </c>
      <c r="I189" s="220">
        <v>130</v>
      </c>
      <c r="J189" s="220">
        <v>130</v>
      </c>
      <c r="K189" s="222"/>
      <c r="L189" s="55"/>
      <c r="M189" s="56"/>
      <c r="N189" s="56"/>
      <c r="O189" s="56"/>
      <c r="P189" s="56"/>
      <c r="Q189" s="55">
        <f>F189*G189+F190*G190</f>
        <v>7000</v>
      </c>
      <c r="R189" s="56"/>
      <c r="S189" s="56"/>
    </row>
    <row r="190" spans="1:21" s="57" customFormat="1" x14ac:dyDescent="0.25">
      <c r="A190" s="1"/>
      <c r="B190" s="203"/>
      <c r="C190" s="205"/>
      <c r="D190" s="203"/>
      <c r="E190" s="203"/>
      <c r="F190" s="26">
        <v>1</v>
      </c>
      <c r="G190" s="28">
        <v>2500</v>
      </c>
      <c r="H190" s="209"/>
      <c r="I190" s="221"/>
      <c r="J190" s="221"/>
      <c r="K190" s="223"/>
      <c r="L190" s="55"/>
      <c r="M190" s="56"/>
      <c r="N190" s="56"/>
      <c r="O190" s="56"/>
      <c r="P190" s="56"/>
      <c r="Q190" s="55"/>
      <c r="R190" s="56"/>
      <c r="S190" s="56"/>
    </row>
    <row r="191" spans="1:21" s="57" customFormat="1" x14ac:dyDescent="0.25">
      <c r="A191" s="1"/>
      <c r="B191" s="202">
        <f>B189+1</f>
        <v>77</v>
      </c>
      <c r="C191" s="204" t="s">
        <v>243</v>
      </c>
      <c r="D191" s="225" t="s">
        <v>237</v>
      </c>
      <c r="E191" s="202" t="s">
        <v>83</v>
      </c>
      <c r="F191" s="26">
        <v>1</v>
      </c>
      <c r="G191" s="28">
        <v>980</v>
      </c>
      <c r="H191" s="208" t="str">
        <f t="shared" si="11"/>
        <v>nhỏ</v>
      </c>
      <c r="I191" s="220">
        <v>150</v>
      </c>
      <c r="J191" s="220">
        <v>150</v>
      </c>
      <c r="K191" s="222"/>
      <c r="L191" s="55"/>
      <c r="M191" s="56"/>
      <c r="N191" s="56"/>
      <c r="O191" s="56"/>
      <c r="P191" s="56"/>
      <c r="Q191" s="55">
        <f>F191*G191+F192*G192</f>
        <v>3220</v>
      </c>
      <c r="R191" s="56"/>
      <c r="S191" s="56"/>
    </row>
    <row r="192" spans="1:21" s="57" customFormat="1" x14ac:dyDescent="0.25">
      <c r="A192" s="1"/>
      <c r="B192" s="203"/>
      <c r="C192" s="205"/>
      <c r="D192" s="225"/>
      <c r="E192" s="203"/>
      <c r="F192" s="26">
        <v>2</v>
      </c>
      <c r="G192" s="28">
        <v>1120</v>
      </c>
      <c r="H192" s="209"/>
      <c r="I192" s="221"/>
      <c r="J192" s="221"/>
      <c r="K192" s="223"/>
      <c r="L192" s="55"/>
      <c r="M192" s="56"/>
      <c r="N192" s="56"/>
      <c r="O192" s="56"/>
      <c r="P192" s="56"/>
      <c r="Q192" s="55"/>
      <c r="R192" s="56"/>
      <c r="S192" s="56"/>
    </row>
    <row r="193" spans="1:19" s="57" customFormat="1" x14ac:dyDescent="0.25">
      <c r="A193" s="1"/>
      <c r="B193" s="202">
        <f>B191+1</f>
        <v>78</v>
      </c>
      <c r="C193" s="224" t="s">
        <v>244</v>
      </c>
      <c r="D193" s="225" t="s">
        <v>237</v>
      </c>
      <c r="E193" s="202" t="s">
        <v>83</v>
      </c>
      <c r="F193" s="26">
        <v>4</v>
      </c>
      <c r="G193" s="28">
        <v>900</v>
      </c>
      <c r="H193" s="29" t="str">
        <f t="shared" si="11"/>
        <v>vừa</v>
      </c>
      <c r="I193" s="212">
        <v>210</v>
      </c>
      <c r="J193" s="212">
        <v>210</v>
      </c>
      <c r="K193" s="222"/>
      <c r="L193" s="55"/>
      <c r="M193" s="56"/>
      <c r="N193" s="56"/>
      <c r="O193" s="56"/>
      <c r="P193" s="56"/>
      <c r="Q193" s="55">
        <f>F193*G193+F194*G194</f>
        <v>6000</v>
      </c>
      <c r="R193" s="56"/>
      <c r="S193" s="56"/>
    </row>
    <row r="194" spans="1:19" s="57" customFormat="1" x14ac:dyDescent="0.25">
      <c r="A194" s="1"/>
      <c r="B194" s="203"/>
      <c r="C194" s="224"/>
      <c r="D194" s="225"/>
      <c r="E194" s="203"/>
      <c r="F194" s="26">
        <v>2</v>
      </c>
      <c r="G194" s="28">
        <v>1200</v>
      </c>
      <c r="H194" s="29"/>
      <c r="I194" s="213"/>
      <c r="J194" s="213"/>
      <c r="K194" s="223"/>
      <c r="L194" s="55"/>
      <c r="M194" s="56"/>
      <c r="N194" s="56"/>
      <c r="O194" s="56"/>
      <c r="P194" s="56"/>
      <c r="Q194" s="55"/>
      <c r="R194" s="56"/>
      <c r="S194" s="56"/>
    </row>
    <row r="195" spans="1:19" s="185" customFormat="1" x14ac:dyDescent="0.25">
      <c r="A195" s="177">
        <f ca="1">IF(B195&gt;0,SUM(MAX($A$10:A194),1),0)</f>
        <v>89</v>
      </c>
      <c r="B195" s="178">
        <f>B193+1</f>
        <v>79</v>
      </c>
      <c r="C195" s="179" t="s">
        <v>285</v>
      </c>
      <c r="D195" s="178" t="s">
        <v>265</v>
      </c>
      <c r="E195" s="178" t="s">
        <v>83</v>
      </c>
      <c r="F195" s="178">
        <v>2</v>
      </c>
      <c r="G195" s="180">
        <v>980</v>
      </c>
      <c r="H195" s="181" t="str">
        <f t="shared" ref="H195:H220" si="16">IF(AND(Q195&lt;3600,Q195&gt;0),"nhỏ",IF(AND(Q195&gt;=3600,Q195&lt;72000),"vừa",IF(Q195&lt;&gt;0,"lớn",0)))</f>
        <v>nhỏ</v>
      </c>
      <c r="I195" s="180">
        <v>75</v>
      </c>
      <c r="J195" s="180">
        <v>75</v>
      </c>
      <c r="K195" s="182"/>
      <c r="L195" s="183"/>
      <c r="M195" s="184"/>
      <c r="N195" s="184"/>
      <c r="O195" s="184"/>
      <c r="P195" s="184"/>
      <c r="Q195" s="183">
        <f>G195*F195</f>
        <v>1960</v>
      </c>
      <c r="R195" s="184"/>
      <c r="S195" s="184"/>
    </row>
    <row r="196" spans="1:19" s="185" customFormat="1" x14ac:dyDescent="0.25">
      <c r="A196" s="177">
        <f ca="1">IF(B196&gt;0,SUM(MAX($A$10:A195),1),0)</f>
        <v>102</v>
      </c>
      <c r="B196" s="178">
        <f>B195+1</f>
        <v>80</v>
      </c>
      <c r="C196" s="179" t="s">
        <v>308</v>
      </c>
      <c r="D196" s="178" t="s">
        <v>524</v>
      </c>
      <c r="E196" s="178" t="s">
        <v>83</v>
      </c>
      <c r="F196" s="178">
        <v>3</v>
      </c>
      <c r="G196" s="180">
        <v>1400</v>
      </c>
      <c r="H196" s="181" t="str">
        <f t="shared" si="16"/>
        <v>vừa</v>
      </c>
      <c r="I196" s="180">
        <v>150</v>
      </c>
      <c r="J196" s="180">
        <v>150</v>
      </c>
      <c r="K196" s="182"/>
      <c r="L196" s="183"/>
      <c r="M196" s="184"/>
      <c r="N196" s="184"/>
      <c r="O196" s="184"/>
      <c r="P196" s="184"/>
      <c r="Q196" s="183">
        <f>G196*F196</f>
        <v>4200</v>
      </c>
      <c r="R196" s="184"/>
      <c r="S196" s="184"/>
    </row>
    <row r="197" spans="1:19" s="57" customFormat="1" x14ac:dyDescent="0.25">
      <c r="A197" s="1">
        <f ca="1">IF(B197&gt;0,SUM(MAX($A$10:A196),1),0)</f>
        <v>103</v>
      </c>
      <c r="B197" s="202">
        <f>B196+1</f>
        <v>81</v>
      </c>
      <c r="C197" s="204" t="s">
        <v>310</v>
      </c>
      <c r="D197" s="202" t="s">
        <v>524</v>
      </c>
      <c r="E197" s="202" t="s">
        <v>83</v>
      </c>
      <c r="F197" s="26">
        <v>1</v>
      </c>
      <c r="G197" s="28">
        <v>1200</v>
      </c>
      <c r="H197" s="208" t="str">
        <f t="shared" si="16"/>
        <v>vừa</v>
      </c>
      <c r="I197" s="212">
        <v>130</v>
      </c>
      <c r="J197" s="212">
        <v>130</v>
      </c>
      <c r="K197" s="54"/>
      <c r="L197" s="55"/>
      <c r="M197" s="56"/>
      <c r="N197" s="56"/>
      <c r="O197" s="56"/>
      <c r="P197" s="56"/>
      <c r="Q197" s="55">
        <f>G197*F197+F198*G198</f>
        <v>4140</v>
      </c>
      <c r="R197" s="56"/>
      <c r="S197" s="56"/>
    </row>
    <row r="198" spans="1:19" s="57" customFormat="1" x14ac:dyDescent="0.25">
      <c r="A198" s="1">
        <f>IF(B198&gt;0,SUM(MAX($A$10:A197),1),0)</f>
        <v>0</v>
      </c>
      <c r="B198" s="203"/>
      <c r="C198" s="205"/>
      <c r="D198" s="203"/>
      <c r="E198" s="203"/>
      <c r="F198" s="26">
        <v>3</v>
      </c>
      <c r="G198" s="28">
        <v>980</v>
      </c>
      <c r="H198" s="209"/>
      <c r="I198" s="213"/>
      <c r="J198" s="213"/>
      <c r="K198" s="54"/>
      <c r="L198" s="55"/>
      <c r="M198" s="56"/>
      <c r="N198" s="56"/>
      <c r="O198" s="56"/>
      <c r="P198" s="56"/>
      <c r="Q198" s="55"/>
      <c r="R198" s="56"/>
      <c r="S198" s="56"/>
    </row>
    <row r="199" spans="1:19" s="57" customFormat="1" x14ac:dyDescent="0.25">
      <c r="A199" s="1">
        <f ca="1">IF(B199&gt;0,SUM(MAX($A$10:A198),1),0)</f>
        <v>104</v>
      </c>
      <c r="B199" s="202">
        <v>82</v>
      </c>
      <c r="C199" s="204" t="s">
        <v>311</v>
      </c>
      <c r="D199" s="202" t="s">
        <v>524</v>
      </c>
      <c r="E199" s="202" t="s">
        <v>83</v>
      </c>
      <c r="F199" s="26">
        <v>4</v>
      </c>
      <c r="G199" s="28">
        <v>1400</v>
      </c>
      <c r="H199" s="208" t="str">
        <f t="shared" si="16"/>
        <v>vừa</v>
      </c>
      <c r="I199" s="212">
        <v>115</v>
      </c>
      <c r="J199" s="212">
        <v>115</v>
      </c>
      <c r="K199" s="222"/>
      <c r="L199" s="55"/>
      <c r="M199" s="56"/>
      <c r="N199" s="56"/>
      <c r="O199" s="56"/>
      <c r="P199" s="56"/>
      <c r="Q199" s="55">
        <f>G199*F199+F200*G200</f>
        <v>8540</v>
      </c>
      <c r="R199" s="56"/>
      <c r="S199" s="56"/>
    </row>
    <row r="200" spans="1:19" s="57" customFormat="1" x14ac:dyDescent="0.25">
      <c r="A200" s="1">
        <f>IF(B200&gt;0,SUM(MAX($A$10:A199),1),0)</f>
        <v>0</v>
      </c>
      <c r="B200" s="203"/>
      <c r="C200" s="205"/>
      <c r="D200" s="203"/>
      <c r="E200" s="203"/>
      <c r="F200" s="26">
        <v>3</v>
      </c>
      <c r="G200" s="28">
        <v>980</v>
      </c>
      <c r="H200" s="209"/>
      <c r="I200" s="213"/>
      <c r="J200" s="213"/>
      <c r="K200" s="223"/>
      <c r="L200" s="55"/>
      <c r="M200" s="56"/>
      <c r="N200" s="56"/>
      <c r="O200" s="56"/>
      <c r="P200" s="56"/>
      <c r="Q200" s="55"/>
      <c r="R200" s="56"/>
      <c r="S200" s="56"/>
    </row>
    <row r="201" spans="1:19" s="57" customFormat="1" x14ac:dyDescent="0.25">
      <c r="A201" s="1">
        <f ca="1">IF(B201&gt;0,SUM(MAX($A$10:A200),1),0)</f>
        <v>105</v>
      </c>
      <c r="B201" s="202">
        <v>83</v>
      </c>
      <c r="C201" s="204" t="s">
        <v>312</v>
      </c>
      <c r="D201" s="202" t="s">
        <v>309</v>
      </c>
      <c r="E201" s="202" t="s">
        <v>83</v>
      </c>
      <c r="F201" s="26">
        <v>2</v>
      </c>
      <c r="G201" s="28">
        <v>2000</v>
      </c>
      <c r="H201" s="208" t="str">
        <f t="shared" si="16"/>
        <v>vừa</v>
      </c>
      <c r="I201" s="212">
        <v>80</v>
      </c>
      <c r="J201" s="212">
        <v>80</v>
      </c>
      <c r="K201" s="222"/>
      <c r="L201" s="55"/>
      <c r="M201" s="56"/>
      <c r="N201" s="56"/>
      <c r="O201" s="56"/>
      <c r="P201" s="56"/>
      <c r="Q201" s="55">
        <f>G201*F201+F202*G202</f>
        <v>5400</v>
      </c>
      <c r="R201" s="56"/>
      <c r="S201" s="56"/>
    </row>
    <row r="202" spans="1:19" s="57" customFormat="1" x14ac:dyDescent="0.25">
      <c r="A202" s="1">
        <f>IF(B202&gt;0,SUM(MAX($A$10:A201),1),0)</f>
        <v>0</v>
      </c>
      <c r="B202" s="203"/>
      <c r="C202" s="205"/>
      <c r="D202" s="203"/>
      <c r="E202" s="203"/>
      <c r="F202" s="26">
        <v>1</v>
      </c>
      <c r="G202" s="28">
        <v>1400</v>
      </c>
      <c r="H202" s="209"/>
      <c r="I202" s="213"/>
      <c r="J202" s="213"/>
      <c r="K202" s="223"/>
      <c r="L202" s="55"/>
      <c r="M202" s="56"/>
      <c r="N202" s="56"/>
      <c r="O202" s="56"/>
      <c r="P202" s="56"/>
      <c r="Q202" s="55"/>
      <c r="R202" s="56"/>
      <c r="S202" s="56"/>
    </row>
    <row r="203" spans="1:19" s="57" customFormat="1" x14ac:dyDescent="0.25">
      <c r="A203" s="1">
        <f ca="1">IF(B203&gt;0,SUM(MAX($A$10:A202),1),0)</f>
        <v>106</v>
      </c>
      <c r="B203" s="26">
        <v>84</v>
      </c>
      <c r="C203" s="27" t="s">
        <v>313</v>
      </c>
      <c r="D203" s="26" t="s">
        <v>309</v>
      </c>
      <c r="E203" s="26" t="s">
        <v>83</v>
      </c>
      <c r="F203" s="26">
        <v>3</v>
      </c>
      <c r="G203" s="28">
        <v>980</v>
      </c>
      <c r="H203" s="29" t="str">
        <f t="shared" si="16"/>
        <v>nhỏ</v>
      </c>
      <c r="I203" s="28">
        <v>120</v>
      </c>
      <c r="J203" s="28">
        <v>120</v>
      </c>
      <c r="K203" s="54"/>
      <c r="L203" s="55"/>
      <c r="M203" s="56"/>
      <c r="N203" s="56"/>
      <c r="O203" s="56"/>
      <c r="P203" s="56"/>
      <c r="Q203" s="55">
        <f>F203*G203</f>
        <v>2940</v>
      </c>
      <c r="R203" s="56"/>
      <c r="S203" s="56"/>
    </row>
    <row r="204" spans="1:19" s="57" customFormat="1" x14ac:dyDescent="0.25">
      <c r="A204" s="1">
        <f ca="1">IF(B204&gt;0,SUM(MAX($A$10:A203),1),0)</f>
        <v>107</v>
      </c>
      <c r="B204" s="26">
        <v>85</v>
      </c>
      <c r="C204" s="27" t="s">
        <v>314</v>
      </c>
      <c r="D204" s="26" t="s">
        <v>315</v>
      </c>
      <c r="E204" s="26" t="s">
        <v>83</v>
      </c>
      <c r="F204" s="26">
        <v>4</v>
      </c>
      <c r="G204" s="28">
        <v>980</v>
      </c>
      <c r="H204" s="29" t="str">
        <f t="shared" si="16"/>
        <v>vừa</v>
      </c>
      <c r="I204" s="28">
        <v>90</v>
      </c>
      <c r="J204" s="28">
        <v>90</v>
      </c>
      <c r="K204" s="54"/>
      <c r="L204" s="55"/>
      <c r="M204" s="56"/>
      <c r="N204" s="56"/>
      <c r="O204" s="56"/>
      <c r="P204" s="56"/>
      <c r="Q204" s="55">
        <f t="shared" ref="Q204:Q212" si="17">F204*G204</f>
        <v>3920</v>
      </c>
      <c r="R204" s="56"/>
      <c r="S204" s="56"/>
    </row>
    <row r="205" spans="1:19" s="57" customFormat="1" x14ac:dyDescent="0.25">
      <c r="A205" s="1">
        <f ca="1">IF(B205&gt;0,SUM(MAX($A$10:A204),1),0)</f>
        <v>108</v>
      </c>
      <c r="B205" s="26">
        <v>86</v>
      </c>
      <c r="C205" s="27" t="s">
        <v>316</v>
      </c>
      <c r="D205" s="26" t="s">
        <v>315</v>
      </c>
      <c r="E205" s="26" t="s">
        <v>83</v>
      </c>
      <c r="F205" s="26">
        <v>4</v>
      </c>
      <c r="G205" s="28">
        <v>1400</v>
      </c>
      <c r="H205" s="29" t="str">
        <f t="shared" si="16"/>
        <v>vừa</v>
      </c>
      <c r="I205" s="28">
        <v>100</v>
      </c>
      <c r="J205" s="28">
        <v>100</v>
      </c>
      <c r="K205" s="54"/>
      <c r="L205" s="55"/>
      <c r="M205" s="56"/>
      <c r="N205" s="56"/>
      <c r="O205" s="56"/>
      <c r="P205" s="56"/>
      <c r="Q205" s="55">
        <f t="shared" si="17"/>
        <v>5600</v>
      </c>
      <c r="R205" s="56"/>
      <c r="S205" s="56"/>
    </row>
    <row r="206" spans="1:19" s="57" customFormat="1" x14ac:dyDescent="0.25">
      <c r="A206" s="1">
        <f ca="1">IF(B206&gt;0,SUM(MAX($A$10:A205),1),0)</f>
        <v>109</v>
      </c>
      <c r="B206" s="26">
        <v>87</v>
      </c>
      <c r="C206" s="27" t="s">
        <v>317</v>
      </c>
      <c r="D206" s="26" t="s">
        <v>315</v>
      </c>
      <c r="E206" s="26" t="s">
        <v>83</v>
      </c>
      <c r="F206" s="26">
        <v>2</v>
      </c>
      <c r="G206" s="28">
        <v>1200</v>
      </c>
      <c r="H206" s="29" t="str">
        <f t="shared" si="16"/>
        <v>nhỏ</v>
      </c>
      <c r="I206" s="28">
        <v>70</v>
      </c>
      <c r="J206" s="28">
        <v>70</v>
      </c>
      <c r="K206" s="54"/>
      <c r="L206" s="55"/>
      <c r="M206" s="56"/>
      <c r="N206" s="56"/>
      <c r="O206" s="56"/>
      <c r="P206" s="56"/>
      <c r="Q206" s="55">
        <f t="shared" si="17"/>
        <v>2400</v>
      </c>
      <c r="R206" s="56"/>
      <c r="S206" s="56"/>
    </row>
    <row r="207" spans="1:19" s="57" customFormat="1" x14ac:dyDescent="0.25">
      <c r="A207" s="1">
        <f ca="1">IF(B207&gt;0,SUM(MAX($A$10:A210),1),0)</f>
        <v>112</v>
      </c>
      <c r="B207" s="26">
        <v>88</v>
      </c>
      <c r="C207" s="27" t="s">
        <v>320</v>
      </c>
      <c r="D207" s="26" t="s">
        <v>164</v>
      </c>
      <c r="E207" s="26" t="s">
        <v>83</v>
      </c>
      <c r="F207" s="26">
        <v>7</v>
      </c>
      <c r="G207" s="28">
        <v>1400</v>
      </c>
      <c r="H207" s="29" t="str">
        <f>IF(AND(Q207&lt;3600,Q207&gt;0),"nhỏ",IF(AND(Q207&gt;=3600,Q207&lt;72000),"vừa",IF(Q207&lt;&gt;0,"lớn",0)))</f>
        <v>vừa</v>
      </c>
      <c r="I207" s="28">
        <v>160</v>
      </c>
      <c r="J207" s="28">
        <v>160</v>
      </c>
      <c r="K207" s="54"/>
      <c r="L207" s="55"/>
      <c r="M207" s="56"/>
      <c r="N207" s="56"/>
      <c r="O207" s="56"/>
      <c r="P207" s="56"/>
      <c r="Q207" s="55">
        <f>F207*G207</f>
        <v>9800</v>
      </c>
      <c r="R207" s="56"/>
      <c r="S207" s="56"/>
    </row>
    <row r="208" spans="1:19" s="57" customFormat="1" x14ac:dyDescent="0.25">
      <c r="A208" s="1">
        <f ca="1">IF(B208&gt;0,SUM(MAX($A$10:A206),1),0)</f>
        <v>110</v>
      </c>
      <c r="B208" s="26">
        <v>89</v>
      </c>
      <c r="C208" s="27" t="s">
        <v>318</v>
      </c>
      <c r="D208" s="26" t="s">
        <v>161</v>
      </c>
      <c r="E208" s="26" t="s">
        <v>162</v>
      </c>
      <c r="F208" s="26">
        <v>10</v>
      </c>
      <c r="G208" s="28">
        <v>2500</v>
      </c>
      <c r="H208" s="29" t="str">
        <f t="shared" si="16"/>
        <v>vừa</v>
      </c>
      <c r="I208" s="28">
        <v>340</v>
      </c>
      <c r="J208" s="28">
        <v>340</v>
      </c>
      <c r="K208" s="54"/>
      <c r="L208" s="55"/>
      <c r="M208" s="56"/>
      <c r="N208" s="56"/>
      <c r="O208" s="56"/>
      <c r="P208" s="56"/>
      <c r="Q208" s="55">
        <f t="shared" si="17"/>
        <v>25000</v>
      </c>
      <c r="R208" s="56"/>
      <c r="S208" s="56"/>
    </row>
    <row r="209" spans="1:19" s="57" customFormat="1" x14ac:dyDescent="0.25">
      <c r="A209" s="1">
        <f ca="1">IF(B209&gt;0,SUM(MAX($A$10:A208),1),0)</f>
        <v>111</v>
      </c>
      <c r="B209" s="202">
        <v>90</v>
      </c>
      <c r="C209" s="204" t="s">
        <v>319</v>
      </c>
      <c r="D209" s="202" t="s">
        <v>164</v>
      </c>
      <c r="E209" s="202" t="s">
        <v>162</v>
      </c>
      <c r="F209" s="26">
        <v>3</v>
      </c>
      <c r="G209" s="28">
        <v>1000</v>
      </c>
      <c r="H209" s="208" t="str">
        <f t="shared" si="16"/>
        <v>vừa</v>
      </c>
      <c r="I209" s="212">
        <v>90</v>
      </c>
      <c r="J209" s="212">
        <v>90</v>
      </c>
      <c r="K209" s="54"/>
      <c r="L209" s="55"/>
      <c r="M209" s="56"/>
      <c r="N209" s="56"/>
      <c r="O209" s="56"/>
      <c r="P209" s="56"/>
      <c r="Q209" s="55">
        <f>F209*G209+F210*G210</f>
        <v>4200</v>
      </c>
      <c r="R209" s="56"/>
      <c r="S209" s="56"/>
    </row>
    <row r="210" spans="1:19" s="57" customFormat="1" x14ac:dyDescent="0.25">
      <c r="A210" s="1">
        <f>IF(B210&gt;0,SUM(MAX($A$10:A209),1),0)</f>
        <v>0</v>
      </c>
      <c r="B210" s="203"/>
      <c r="C210" s="205"/>
      <c r="D210" s="203"/>
      <c r="E210" s="203"/>
      <c r="F210" s="26">
        <v>1</v>
      </c>
      <c r="G210" s="28">
        <v>1200</v>
      </c>
      <c r="H210" s="209"/>
      <c r="I210" s="213"/>
      <c r="J210" s="213"/>
      <c r="K210" s="54"/>
      <c r="L210" s="55"/>
      <c r="M210" s="56"/>
      <c r="N210" s="56"/>
      <c r="O210" s="56"/>
      <c r="P210" s="56"/>
      <c r="Q210" s="55"/>
      <c r="R210" s="56"/>
      <c r="S210" s="56"/>
    </row>
    <row r="211" spans="1:19" s="57" customFormat="1" x14ac:dyDescent="0.25">
      <c r="A211" s="1">
        <f ca="1">IF(B211&gt;0,SUM(MAX($A$10:A210),1),0)</f>
        <v>113</v>
      </c>
      <c r="B211" s="26">
        <v>91</v>
      </c>
      <c r="C211" s="27" t="s">
        <v>321</v>
      </c>
      <c r="D211" s="26" t="s">
        <v>321</v>
      </c>
      <c r="E211" s="26" t="s">
        <v>162</v>
      </c>
      <c r="F211" s="26">
        <v>9</v>
      </c>
      <c r="G211" s="28">
        <v>1000</v>
      </c>
      <c r="H211" s="29" t="str">
        <f t="shared" si="16"/>
        <v>vừa</v>
      </c>
      <c r="I211" s="28">
        <v>220</v>
      </c>
      <c r="J211" s="28">
        <v>220</v>
      </c>
      <c r="K211" s="54"/>
      <c r="L211" s="55"/>
      <c r="M211" s="56"/>
      <c r="N211" s="56"/>
      <c r="O211" s="56"/>
      <c r="P211" s="56"/>
      <c r="Q211" s="55">
        <f t="shared" si="17"/>
        <v>9000</v>
      </c>
      <c r="R211" s="56"/>
      <c r="S211" s="56"/>
    </row>
    <row r="212" spans="1:19" s="57" customFormat="1" x14ac:dyDescent="0.25">
      <c r="A212" s="1">
        <f ca="1">IF(B212&gt;0,SUM(MAX($A$10:A211),1),0)</f>
        <v>114</v>
      </c>
      <c r="B212" s="26">
        <v>92</v>
      </c>
      <c r="C212" s="27" t="s">
        <v>322</v>
      </c>
      <c r="D212" s="26" t="s">
        <v>321</v>
      </c>
      <c r="E212" s="26" t="s">
        <v>162</v>
      </c>
      <c r="F212" s="26">
        <v>2</v>
      </c>
      <c r="G212" s="28">
        <v>1200</v>
      </c>
      <c r="H212" s="29" t="str">
        <f t="shared" si="16"/>
        <v>nhỏ</v>
      </c>
      <c r="I212" s="28">
        <v>80</v>
      </c>
      <c r="J212" s="28">
        <v>80</v>
      </c>
      <c r="K212" s="54"/>
      <c r="L212" s="55"/>
      <c r="M212" s="56"/>
      <c r="N212" s="56"/>
      <c r="O212" s="56"/>
      <c r="P212" s="56"/>
      <c r="Q212" s="55">
        <f t="shared" si="17"/>
        <v>2400</v>
      </c>
      <c r="R212" s="56"/>
      <c r="S212" s="56"/>
    </row>
    <row r="213" spans="1:19" s="57" customFormat="1" x14ac:dyDescent="0.25">
      <c r="A213" s="1">
        <f ca="1">IF(B213&gt;0,SUM(MAX($A$10:A212),1),0)</f>
        <v>115</v>
      </c>
      <c r="B213" s="202">
        <v>93</v>
      </c>
      <c r="C213" s="204" t="s">
        <v>323</v>
      </c>
      <c r="D213" s="202" t="s">
        <v>321</v>
      </c>
      <c r="E213" s="202" t="s">
        <v>162</v>
      </c>
      <c r="F213" s="26">
        <v>1</v>
      </c>
      <c r="G213" s="28">
        <v>1400</v>
      </c>
      <c r="H213" s="208" t="str">
        <f t="shared" si="16"/>
        <v>vừa</v>
      </c>
      <c r="I213" s="212">
        <v>100</v>
      </c>
      <c r="J213" s="212">
        <v>100</v>
      </c>
      <c r="K213" s="54"/>
      <c r="L213" s="55"/>
      <c r="M213" s="56"/>
      <c r="N213" s="56"/>
      <c r="O213" s="56"/>
      <c r="P213" s="56"/>
      <c r="Q213" s="55">
        <f>F213*G213+F214*G214</f>
        <v>5400</v>
      </c>
      <c r="R213" s="56"/>
      <c r="S213" s="56"/>
    </row>
    <row r="214" spans="1:19" s="57" customFormat="1" x14ac:dyDescent="0.25">
      <c r="A214" s="1">
        <f>IF(B214&gt;0,SUM(MAX($A$10:A213),1),0)</f>
        <v>0</v>
      </c>
      <c r="B214" s="203"/>
      <c r="C214" s="205"/>
      <c r="D214" s="203"/>
      <c r="E214" s="203"/>
      <c r="F214" s="26">
        <v>2</v>
      </c>
      <c r="G214" s="28">
        <v>2000</v>
      </c>
      <c r="H214" s="209"/>
      <c r="I214" s="213"/>
      <c r="J214" s="213"/>
      <c r="K214" s="54"/>
      <c r="L214" s="55"/>
      <c r="M214" s="56"/>
      <c r="N214" s="56"/>
      <c r="O214" s="56"/>
      <c r="P214" s="56"/>
      <c r="Q214" s="55"/>
      <c r="R214" s="56"/>
      <c r="S214" s="56"/>
    </row>
    <row r="215" spans="1:19" s="57" customFormat="1" x14ac:dyDescent="0.25">
      <c r="A215" s="1">
        <f ca="1">IF(B215&gt;0,SUM(MAX($A$10:A214),1),0)</f>
        <v>117</v>
      </c>
      <c r="B215" s="202">
        <v>94</v>
      </c>
      <c r="C215" s="204" t="s">
        <v>325</v>
      </c>
      <c r="D215" s="202" t="s">
        <v>213</v>
      </c>
      <c r="E215" s="202" t="s">
        <v>162</v>
      </c>
      <c r="F215" s="26">
        <v>2</v>
      </c>
      <c r="G215" s="28">
        <v>1200</v>
      </c>
      <c r="H215" s="208" t="str">
        <f t="shared" si="16"/>
        <v>vừa</v>
      </c>
      <c r="I215" s="212">
        <v>95</v>
      </c>
      <c r="J215" s="212">
        <v>95</v>
      </c>
      <c r="K215" s="54"/>
      <c r="L215" s="55"/>
      <c r="M215" s="56"/>
      <c r="N215" s="56"/>
      <c r="O215" s="56"/>
      <c r="P215" s="56"/>
      <c r="Q215" s="55">
        <f>F215*G215+F216*G216</f>
        <v>6320</v>
      </c>
      <c r="R215" s="56"/>
      <c r="S215" s="56"/>
    </row>
    <row r="216" spans="1:19" s="57" customFormat="1" x14ac:dyDescent="0.25">
      <c r="A216" s="1">
        <f>IF(B216&gt;0,SUM(MAX($A$10:A215),1),0)</f>
        <v>0</v>
      </c>
      <c r="B216" s="203"/>
      <c r="C216" s="205"/>
      <c r="D216" s="203"/>
      <c r="E216" s="203"/>
      <c r="F216" s="26">
        <v>4</v>
      </c>
      <c r="G216" s="28">
        <v>980</v>
      </c>
      <c r="H216" s="209"/>
      <c r="I216" s="213"/>
      <c r="J216" s="213"/>
      <c r="K216" s="54"/>
      <c r="L216" s="55"/>
      <c r="M216" s="56"/>
      <c r="N216" s="56"/>
      <c r="O216" s="56"/>
      <c r="P216" s="56"/>
      <c r="Q216" s="55"/>
      <c r="R216" s="56"/>
      <c r="S216" s="56"/>
    </row>
    <row r="217" spans="1:19" s="57" customFormat="1" x14ac:dyDescent="0.25">
      <c r="A217" s="1">
        <f ca="1">IF(B217&gt;0,SUM(MAX($A$10:A216),1),0)</f>
        <v>118</v>
      </c>
      <c r="B217" s="202">
        <v>95</v>
      </c>
      <c r="C217" s="204" t="s">
        <v>326</v>
      </c>
      <c r="D217" s="202" t="s">
        <v>213</v>
      </c>
      <c r="E217" s="202" t="s">
        <v>162</v>
      </c>
      <c r="F217" s="26">
        <v>2</v>
      </c>
      <c r="G217" s="28">
        <v>1950</v>
      </c>
      <c r="H217" s="208" t="str">
        <f t="shared" si="16"/>
        <v>vừa</v>
      </c>
      <c r="I217" s="212">
        <v>135</v>
      </c>
      <c r="J217" s="212">
        <v>135</v>
      </c>
      <c r="K217" s="54"/>
      <c r="L217" s="55"/>
      <c r="M217" s="56"/>
      <c r="N217" s="56"/>
      <c r="O217" s="56"/>
      <c r="P217" s="56"/>
      <c r="Q217" s="55">
        <f>F217*G217+F218*G218</f>
        <v>4880</v>
      </c>
      <c r="R217" s="56"/>
      <c r="S217" s="56"/>
    </row>
    <row r="218" spans="1:19" s="57" customFormat="1" x14ac:dyDescent="0.25">
      <c r="A218" s="1">
        <f>IF(B218&gt;0,SUM(MAX($A$10:A217),1),0)</f>
        <v>0</v>
      </c>
      <c r="B218" s="203"/>
      <c r="C218" s="205"/>
      <c r="D218" s="203"/>
      <c r="E218" s="203"/>
      <c r="F218" s="26">
        <v>1</v>
      </c>
      <c r="G218" s="28">
        <v>980</v>
      </c>
      <c r="H218" s="209"/>
      <c r="I218" s="213"/>
      <c r="J218" s="213"/>
      <c r="K218" s="54"/>
      <c r="L218" s="55"/>
      <c r="M218" s="56"/>
      <c r="N218" s="56"/>
      <c r="O218" s="56"/>
      <c r="P218" s="56"/>
      <c r="Q218" s="55"/>
      <c r="R218" s="56"/>
      <c r="S218" s="56"/>
    </row>
    <row r="219" spans="1:19" s="57" customFormat="1" x14ac:dyDescent="0.25">
      <c r="A219" s="1">
        <f ca="1">IF(B219&gt;0,SUM(MAX($A$10:A218),1),0)</f>
        <v>119</v>
      </c>
      <c r="B219" s="26">
        <v>96</v>
      </c>
      <c r="C219" s="27" t="s">
        <v>529</v>
      </c>
      <c r="D219" s="26" t="s">
        <v>213</v>
      </c>
      <c r="E219" s="26" t="s">
        <v>162</v>
      </c>
      <c r="F219" s="26">
        <v>2</v>
      </c>
      <c r="G219" s="28">
        <v>980</v>
      </c>
      <c r="H219" s="29" t="str">
        <f t="shared" si="16"/>
        <v>nhỏ</v>
      </c>
      <c r="I219" s="28">
        <v>80</v>
      </c>
      <c r="J219" s="28">
        <v>80</v>
      </c>
      <c r="K219" s="54"/>
      <c r="L219" s="55"/>
      <c r="M219" s="56"/>
      <c r="N219" s="56"/>
      <c r="O219" s="56"/>
      <c r="P219" s="56"/>
      <c r="Q219" s="55">
        <f>F219*G219</f>
        <v>1960</v>
      </c>
      <c r="R219" s="56"/>
      <c r="S219" s="56"/>
    </row>
    <row r="220" spans="1:19" s="57" customFormat="1" x14ac:dyDescent="0.25">
      <c r="A220" s="1">
        <f ca="1">IF(B220&gt;0,SUM(MAX($A$10:A219),1),0)</f>
        <v>120</v>
      </c>
      <c r="B220" s="26">
        <v>97</v>
      </c>
      <c r="C220" s="27" t="s">
        <v>328</v>
      </c>
      <c r="D220" s="26" t="s">
        <v>213</v>
      </c>
      <c r="E220" s="26" t="s">
        <v>162</v>
      </c>
      <c r="F220" s="26">
        <v>2</v>
      </c>
      <c r="G220" s="28">
        <v>1000</v>
      </c>
      <c r="H220" s="29" t="str">
        <f t="shared" si="16"/>
        <v>nhỏ</v>
      </c>
      <c r="I220" s="28">
        <v>50</v>
      </c>
      <c r="J220" s="28">
        <v>50</v>
      </c>
      <c r="K220" s="54"/>
      <c r="L220" s="55"/>
      <c r="M220" s="56"/>
      <c r="N220" s="56"/>
      <c r="O220" s="56"/>
      <c r="P220" s="56"/>
      <c r="Q220" s="55">
        <f t="shared" ref="Q220:Q226" si="18">F220*G220</f>
        <v>2000</v>
      </c>
      <c r="R220" s="56"/>
      <c r="S220" s="56"/>
    </row>
    <row r="221" spans="1:19" s="57" customFormat="1" x14ac:dyDescent="0.25">
      <c r="A221" s="1">
        <f ca="1">IF(B221&gt;0,SUM(MAX($A$10:A226),1),0)</f>
        <v>126</v>
      </c>
      <c r="B221" s="202">
        <v>98</v>
      </c>
      <c r="C221" s="204" t="s">
        <v>334</v>
      </c>
      <c r="D221" s="202" t="s">
        <v>335</v>
      </c>
      <c r="E221" s="202" t="s">
        <v>162</v>
      </c>
      <c r="F221" s="26">
        <v>1</v>
      </c>
      <c r="G221" s="28">
        <v>980</v>
      </c>
      <c r="H221" s="208" t="str">
        <f>IF(AND(Q221&lt;3600,Q221&gt;0),"nhỏ",IF(AND(Q221&gt;=3600,Q221&lt;72000),"vừa",IF(Q221&lt;&gt;0,"lớn",0)))</f>
        <v>nhỏ</v>
      </c>
      <c r="I221" s="212">
        <v>75</v>
      </c>
      <c r="J221" s="212">
        <v>75</v>
      </c>
      <c r="K221" s="54"/>
      <c r="L221" s="55"/>
      <c r="M221" s="56"/>
      <c r="N221" s="56"/>
      <c r="O221" s="56"/>
      <c r="P221" s="56"/>
      <c r="Q221" s="55">
        <f>F221*G221+F222*G222</f>
        <v>1520</v>
      </c>
      <c r="R221" s="56"/>
      <c r="S221" s="56"/>
    </row>
    <row r="222" spans="1:19" s="57" customFormat="1" x14ac:dyDescent="0.25">
      <c r="A222" s="1">
        <f>IF(B222&gt;0,SUM(MAX($A$10:A221),1),0)</f>
        <v>0</v>
      </c>
      <c r="B222" s="203"/>
      <c r="C222" s="205"/>
      <c r="D222" s="203"/>
      <c r="E222" s="203"/>
      <c r="F222" s="26">
        <v>1</v>
      </c>
      <c r="G222" s="28">
        <v>540</v>
      </c>
      <c r="H222" s="209"/>
      <c r="I222" s="213"/>
      <c r="J222" s="213"/>
      <c r="K222" s="54"/>
      <c r="L222" s="55"/>
      <c r="M222" s="56"/>
      <c r="N222" s="56"/>
      <c r="O222" s="56"/>
      <c r="P222" s="56"/>
      <c r="Q222" s="55"/>
      <c r="R222" s="56"/>
      <c r="S222" s="56"/>
    </row>
    <row r="223" spans="1:19" s="57" customFormat="1" x14ac:dyDescent="0.25">
      <c r="A223" s="1">
        <f ca="1">IF(B223&gt;0,SUM(MAX($A$10:A222),1),0)</f>
        <v>127</v>
      </c>
      <c r="B223" s="26">
        <v>99</v>
      </c>
      <c r="C223" s="27" t="s">
        <v>336</v>
      </c>
      <c r="D223" s="26" t="s">
        <v>335</v>
      </c>
      <c r="E223" s="26" t="s">
        <v>162</v>
      </c>
      <c r="F223" s="26">
        <v>3</v>
      </c>
      <c r="G223" s="28">
        <v>980</v>
      </c>
      <c r="H223" s="29" t="str">
        <f>IF(AND(Q223&lt;3600,Q223&gt;0),"nhỏ",IF(AND(Q223&gt;=3600,Q223&lt;72000),"vừa",IF(Q223&lt;&gt;0,"lớn",0)))</f>
        <v>nhỏ</v>
      </c>
      <c r="I223" s="28">
        <v>130</v>
      </c>
      <c r="J223" s="28">
        <v>130</v>
      </c>
      <c r="K223" s="54"/>
      <c r="L223" s="55"/>
      <c r="M223" s="56"/>
      <c r="N223" s="56"/>
      <c r="O223" s="56"/>
      <c r="P223" s="56"/>
      <c r="Q223" s="55">
        <f>F223*G223</f>
        <v>2940</v>
      </c>
      <c r="R223" s="56"/>
      <c r="S223" s="56"/>
    </row>
    <row r="224" spans="1:19" s="57" customFormat="1" x14ac:dyDescent="0.25">
      <c r="A224" s="1">
        <f ca="1">IF(B224&gt;0,SUM(MAX($A$10:A220),1),0)</f>
        <v>124</v>
      </c>
      <c r="B224" s="202">
        <v>100</v>
      </c>
      <c r="C224" s="204" t="s">
        <v>332</v>
      </c>
      <c r="D224" s="202" t="s">
        <v>184</v>
      </c>
      <c r="E224" s="202" t="s">
        <v>217</v>
      </c>
      <c r="F224" s="26">
        <v>2</v>
      </c>
      <c r="G224" s="28">
        <v>2500</v>
      </c>
      <c r="H224" s="208" t="str">
        <f t="shared" ref="H224:H226" si="19">IF(AND(Q224&lt;3600,Q224&gt;0),"nhỏ",IF(AND(Q224&gt;=3600,Q224&lt;72000),"vừa",IF(Q224&lt;&gt;0,"lớn",0)))</f>
        <v>vừa</v>
      </c>
      <c r="I224" s="220">
        <v>150</v>
      </c>
      <c r="J224" s="220">
        <v>150</v>
      </c>
      <c r="K224" s="54"/>
      <c r="L224" s="55"/>
      <c r="M224" s="56"/>
      <c r="N224" s="56"/>
      <c r="O224" s="56"/>
      <c r="P224" s="56"/>
      <c r="Q224" s="55">
        <f>F224*G224+F225*G225</f>
        <v>6200</v>
      </c>
      <c r="R224" s="56"/>
      <c r="S224" s="56"/>
    </row>
    <row r="225" spans="1:19" s="57" customFormat="1" x14ac:dyDescent="0.25">
      <c r="A225" s="1">
        <f>IF(B225&gt;0,SUM(MAX($A$10:A224),1),0)</f>
        <v>0</v>
      </c>
      <c r="B225" s="203"/>
      <c r="C225" s="205"/>
      <c r="D225" s="203"/>
      <c r="E225" s="203"/>
      <c r="F225" s="26">
        <v>1</v>
      </c>
      <c r="G225" s="28">
        <v>1200</v>
      </c>
      <c r="H225" s="209"/>
      <c r="I225" s="221"/>
      <c r="J225" s="221"/>
      <c r="K225" s="54"/>
      <c r="L225" s="55"/>
      <c r="M225" s="56"/>
      <c r="N225" s="56"/>
      <c r="O225" s="56"/>
      <c r="P225" s="56"/>
      <c r="Q225" s="55"/>
      <c r="R225" s="56"/>
      <c r="S225" s="56"/>
    </row>
    <row r="226" spans="1:19" s="57" customFormat="1" x14ac:dyDescent="0.25">
      <c r="A226" s="1">
        <f ca="1">IF(B226&gt;0,SUM(MAX($A$10:A225),1),0)</f>
        <v>125</v>
      </c>
      <c r="B226" s="26">
        <v>101</v>
      </c>
      <c r="C226" s="27" t="s">
        <v>333</v>
      </c>
      <c r="D226" s="26" t="s">
        <v>197</v>
      </c>
      <c r="E226" s="26" t="s">
        <v>217</v>
      </c>
      <c r="F226" s="26">
        <v>2</v>
      </c>
      <c r="G226" s="28">
        <v>980</v>
      </c>
      <c r="H226" s="29" t="str">
        <f t="shared" si="19"/>
        <v>nhỏ</v>
      </c>
      <c r="I226" s="28">
        <v>140</v>
      </c>
      <c r="J226" s="28">
        <v>140</v>
      </c>
      <c r="K226" s="54"/>
      <c r="L226" s="55"/>
      <c r="M226" s="56"/>
      <c r="N226" s="56"/>
      <c r="O226" s="56"/>
      <c r="P226" s="56"/>
      <c r="Q226" s="55">
        <f t="shared" si="18"/>
        <v>1960</v>
      </c>
      <c r="R226" s="56"/>
      <c r="S226" s="56"/>
    </row>
    <row r="227" spans="1:19" s="68" customFormat="1" x14ac:dyDescent="0.25">
      <c r="A227" s="1"/>
      <c r="B227" s="64" t="s">
        <v>340</v>
      </c>
      <c r="C227" s="20" t="s">
        <v>341</v>
      </c>
      <c r="D227" s="19" t="str">
        <f>CONCATENATE(COUNT(B227:B299)," trạm")</f>
        <v>56 trạm</v>
      </c>
      <c r="E227" s="19"/>
      <c r="F227" s="65">
        <f>+F228+F254+F270</f>
        <v>282</v>
      </c>
      <c r="G227" s="31"/>
      <c r="H227" s="66"/>
      <c r="I227" s="66"/>
      <c r="J227" s="66"/>
      <c r="K227" s="66"/>
      <c r="L227" s="67">
        <f>+L228+L254+L270</f>
        <v>2</v>
      </c>
      <c r="M227" s="67">
        <f>+M228+M254+M270</f>
        <v>26</v>
      </c>
      <c r="N227" s="67">
        <f>+N228+N254+N270</f>
        <v>25</v>
      </c>
      <c r="O227" s="67"/>
      <c r="P227" s="67"/>
      <c r="Q227" s="67">
        <f>+Q228+Q254+Q270</f>
        <v>795692</v>
      </c>
      <c r="R227" s="67"/>
      <c r="S227" s="67"/>
    </row>
    <row r="228" spans="1:19" s="68" customFormat="1" x14ac:dyDescent="0.25">
      <c r="A228" s="1">
        <f>IF(B228&gt;0,SUM(MAX($A$10:A227),1),0)</f>
        <v>0</v>
      </c>
      <c r="B228" s="64"/>
      <c r="C228" s="20" t="s">
        <v>20</v>
      </c>
      <c r="D228" s="64" t="str">
        <f>CONCATENATE(COUNT(B227:B253)," trạm")</f>
        <v>23 trạm</v>
      </c>
      <c r="E228" s="64"/>
      <c r="F228" s="65">
        <f>+SUM(F229:F253)</f>
        <v>85</v>
      </c>
      <c r="G228" s="31"/>
      <c r="H228" s="66"/>
      <c r="I228" s="66"/>
      <c r="J228" s="66"/>
      <c r="K228" s="66"/>
      <c r="L228" s="25">
        <f>COUNTIF(H229:H253,"lớn")</f>
        <v>0</v>
      </c>
      <c r="M228" s="25">
        <f>COUNTIF(H229:H253,"vừa")</f>
        <v>11</v>
      </c>
      <c r="N228" s="25">
        <f>COUNTIF(H229:H253,"nhỏ")</f>
        <v>12</v>
      </c>
      <c r="O228" s="67"/>
      <c r="P228" s="67"/>
      <c r="Q228" s="67">
        <f>SUM(Q229:Q253)</f>
        <v>116040</v>
      </c>
      <c r="R228" s="67"/>
      <c r="S228" s="67"/>
    </row>
    <row r="229" spans="1:19" s="71" customFormat="1" x14ac:dyDescent="0.25">
      <c r="A229" s="1">
        <f ca="1">IF(B229&gt;0,SUM(MAX($A$10:A228),1),0)</f>
        <v>131</v>
      </c>
      <c r="B229" s="26">
        <v>1</v>
      </c>
      <c r="C229" s="27" t="s">
        <v>342</v>
      </c>
      <c r="D229" s="26" t="s">
        <v>343</v>
      </c>
      <c r="E229" s="69" t="s">
        <v>344</v>
      </c>
      <c r="F229" s="26">
        <v>6</v>
      </c>
      <c r="G229" s="28">
        <v>980</v>
      </c>
      <c r="H229" s="29" t="str">
        <f t="shared" ref="H229:H259" si="20">IF(AND(Q229&lt;3600,Q229&gt;0),"nhỏ",IF(AND(Q229&gt;=3600,Q229&lt;72000),"vừa",IF(Q229&lt;&gt;0,"lớn",0)))</f>
        <v>vừa</v>
      </c>
      <c r="I229" s="28">
        <v>340</v>
      </c>
      <c r="J229" s="31"/>
      <c r="K229" s="31" t="s">
        <v>345</v>
      </c>
      <c r="L229" s="70"/>
      <c r="M229" s="70"/>
      <c r="N229" s="70"/>
      <c r="O229" s="70"/>
      <c r="P229" s="70"/>
      <c r="Q229" s="70">
        <f>F229*G229</f>
        <v>5880</v>
      </c>
      <c r="R229" s="70"/>
      <c r="S229" s="70"/>
    </row>
    <row r="230" spans="1:19" s="73" customFormat="1" x14ac:dyDescent="0.25">
      <c r="A230" s="1">
        <f ca="1">IF(B230&gt;0,SUM(MAX($A$10:A229),1),0)</f>
        <v>132</v>
      </c>
      <c r="B230" s="26">
        <v>2</v>
      </c>
      <c r="C230" s="27" t="s">
        <v>346</v>
      </c>
      <c r="D230" s="26" t="s">
        <v>346</v>
      </c>
      <c r="E230" s="69" t="s">
        <v>344</v>
      </c>
      <c r="F230" s="26">
        <v>4</v>
      </c>
      <c r="G230" s="28">
        <v>980</v>
      </c>
      <c r="H230" s="29" t="str">
        <f t="shared" si="20"/>
        <v>vừa</v>
      </c>
      <c r="I230" s="28">
        <v>320</v>
      </c>
      <c r="J230" s="31"/>
      <c r="K230" s="31" t="s">
        <v>347</v>
      </c>
      <c r="L230" s="72"/>
      <c r="M230" s="72"/>
      <c r="N230" s="72"/>
      <c r="O230" s="72"/>
      <c r="P230" s="72"/>
      <c r="Q230" s="70">
        <f t="shared" ref="Q230:Q248" si="21">F230*G230</f>
        <v>3920</v>
      </c>
      <c r="R230" s="72"/>
      <c r="S230" s="72"/>
    </row>
    <row r="231" spans="1:19" s="73" customFormat="1" x14ac:dyDescent="0.25">
      <c r="A231" s="1">
        <f ca="1">IF(B231&gt;0,SUM(MAX($A$10:A230),1),0)</f>
        <v>133</v>
      </c>
      <c r="B231" s="26">
        <v>3</v>
      </c>
      <c r="C231" s="27" t="s">
        <v>348</v>
      </c>
      <c r="D231" s="26" t="s">
        <v>346</v>
      </c>
      <c r="E231" s="69" t="s">
        <v>344</v>
      </c>
      <c r="F231" s="26">
        <v>4</v>
      </c>
      <c r="G231" s="28">
        <v>4300</v>
      </c>
      <c r="H231" s="29" t="str">
        <f t="shared" si="20"/>
        <v>vừa</v>
      </c>
      <c r="I231" s="28">
        <v>2422</v>
      </c>
      <c r="J231" s="31"/>
      <c r="K231" s="31" t="s">
        <v>349</v>
      </c>
      <c r="L231" s="72"/>
      <c r="M231" s="72"/>
      <c r="N231" s="72"/>
      <c r="O231" s="72"/>
      <c r="P231" s="72"/>
      <c r="Q231" s="70">
        <f t="shared" si="21"/>
        <v>17200</v>
      </c>
      <c r="R231" s="72"/>
      <c r="S231" s="72"/>
    </row>
    <row r="232" spans="1:19" s="73" customFormat="1" x14ac:dyDescent="0.25">
      <c r="A232" s="1">
        <f ca="1">IF(B232&gt;0,SUM(MAX($A$10:A231),1),0)</f>
        <v>134</v>
      </c>
      <c r="B232" s="26">
        <v>4</v>
      </c>
      <c r="C232" s="27" t="s">
        <v>350</v>
      </c>
      <c r="D232" s="26" t="s">
        <v>351</v>
      </c>
      <c r="E232" s="69" t="s">
        <v>344</v>
      </c>
      <c r="F232" s="26">
        <v>4</v>
      </c>
      <c r="G232" s="28">
        <v>980</v>
      </c>
      <c r="H232" s="29" t="str">
        <f t="shared" si="20"/>
        <v>vừa</v>
      </c>
      <c r="I232" s="31"/>
      <c r="J232" s="31"/>
      <c r="K232" s="31" t="s">
        <v>352</v>
      </c>
      <c r="L232" s="72"/>
      <c r="M232" s="72"/>
      <c r="N232" s="72"/>
      <c r="O232" s="72"/>
      <c r="P232" s="72"/>
      <c r="Q232" s="70">
        <f t="shared" si="21"/>
        <v>3920</v>
      </c>
      <c r="R232" s="72"/>
      <c r="S232" s="72"/>
    </row>
    <row r="233" spans="1:19" s="73" customFormat="1" x14ac:dyDescent="0.25">
      <c r="A233" s="1">
        <f ca="1">IF(B233&gt;0,SUM(MAX($A$10:A248),1),0)</f>
        <v>139</v>
      </c>
      <c r="B233" s="26">
        <v>5</v>
      </c>
      <c r="C233" s="27" t="s">
        <v>364</v>
      </c>
      <c r="D233" s="26" t="s">
        <v>362</v>
      </c>
      <c r="E233" s="69" t="s">
        <v>344</v>
      </c>
      <c r="F233" s="26">
        <v>12</v>
      </c>
      <c r="G233" s="28">
        <v>2100</v>
      </c>
      <c r="H233" s="29" t="str">
        <f>IF(AND(Q233&lt;3600,Q233&gt;0),"nhỏ",IF(AND(Q233&gt;=3600,Q233&lt;72000),"vừa",IF(Q233&lt;&gt;0,"lớn",0)))</f>
        <v>vừa</v>
      </c>
      <c r="I233" s="28">
        <v>1600</v>
      </c>
      <c r="J233" s="31"/>
      <c r="K233" s="31" t="s">
        <v>365</v>
      </c>
      <c r="L233" s="72"/>
      <c r="M233" s="72"/>
      <c r="N233" s="72"/>
      <c r="O233" s="72"/>
      <c r="P233" s="72"/>
      <c r="Q233" s="70">
        <f>F233*G233</f>
        <v>25200</v>
      </c>
      <c r="R233" s="72"/>
      <c r="S233" s="72"/>
    </row>
    <row r="234" spans="1:19" s="73" customFormat="1" x14ac:dyDescent="0.25">
      <c r="A234" s="1">
        <f ca="1">IF(B234&gt;0,SUM(MAX($A$10:A248),1),0)</f>
        <v>140</v>
      </c>
      <c r="B234" s="202">
        <v>6</v>
      </c>
      <c r="C234" s="204" t="s">
        <v>366</v>
      </c>
      <c r="D234" s="202" t="s">
        <v>366</v>
      </c>
      <c r="E234" s="228" t="s">
        <v>344</v>
      </c>
      <c r="F234" s="26">
        <v>3</v>
      </c>
      <c r="G234" s="28">
        <v>980</v>
      </c>
      <c r="H234" s="208" t="str">
        <f>IF(AND(Q234&lt;3600,Q234&gt;0),"nhỏ",IF(AND(Q234&gt;=3600,Q234&lt;72000),"vừa",IF(Q234&lt;&gt;0,"lớn",0)))</f>
        <v>vừa</v>
      </c>
      <c r="I234" s="212">
        <v>220</v>
      </c>
      <c r="J234" s="200"/>
      <c r="K234" s="200" t="s">
        <v>367</v>
      </c>
      <c r="L234" s="72"/>
      <c r="M234" s="72"/>
      <c r="N234" s="72"/>
      <c r="O234" s="72"/>
      <c r="P234" s="72"/>
      <c r="Q234" s="70">
        <f>F234*G234+F235*G235</f>
        <v>4060</v>
      </c>
      <c r="R234" s="72"/>
      <c r="S234" s="72"/>
    </row>
    <row r="235" spans="1:19" s="73" customFormat="1" x14ac:dyDescent="0.25">
      <c r="A235" s="1">
        <f>IF(B235&gt;0,SUM(MAX($A$10:A234),1),0)</f>
        <v>0</v>
      </c>
      <c r="B235" s="203"/>
      <c r="C235" s="205"/>
      <c r="D235" s="203"/>
      <c r="E235" s="229"/>
      <c r="F235" s="26">
        <v>1</v>
      </c>
      <c r="G235" s="28">
        <v>1120</v>
      </c>
      <c r="H235" s="209"/>
      <c r="I235" s="213"/>
      <c r="J235" s="201"/>
      <c r="K235" s="201"/>
      <c r="L235" s="72"/>
      <c r="M235" s="72"/>
      <c r="N235" s="72"/>
      <c r="O235" s="72"/>
      <c r="P235" s="72"/>
      <c r="Q235" s="72"/>
      <c r="R235" s="72"/>
      <c r="S235" s="72"/>
    </row>
    <row r="236" spans="1:19" s="73" customFormat="1" x14ac:dyDescent="0.25">
      <c r="A236" s="1">
        <f ca="1">IF(B236&gt;0,SUM(MAX($A$10:A248),1),0)</f>
        <v>141</v>
      </c>
      <c r="B236" s="26">
        <v>7</v>
      </c>
      <c r="C236" s="27" t="s">
        <v>368</v>
      </c>
      <c r="D236" s="26" t="s">
        <v>369</v>
      </c>
      <c r="E236" s="69" t="s">
        <v>26</v>
      </c>
      <c r="F236" s="26">
        <v>10</v>
      </c>
      <c r="G236" s="28">
        <v>1120</v>
      </c>
      <c r="H236" s="29" t="str">
        <f t="shared" ref="H236:H245" si="22">IF(AND(Q236&lt;3600,Q236&gt;0),"nhỏ",IF(AND(Q236&gt;=3600,Q236&lt;72000),"vừa",IF(Q236&lt;&gt;0,"lớn",0)))</f>
        <v>vừa</v>
      </c>
      <c r="I236" s="28">
        <v>1730</v>
      </c>
      <c r="J236" s="31"/>
      <c r="K236" s="31" t="s">
        <v>370</v>
      </c>
      <c r="L236" s="72"/>
      <c r="M236" s="72"/>
      <c r="N236" s="72"/>
      <c r="O236" s="72"/>
      <c r="P236" s="72"/>
      <c r="Q236" s="72">
        <f t="shared" ref="Q236:Q245" si="23">F236*G236</f>
        <v>11200</v>
      </c>
      <c r="R236" s="72"/>
      <c r="S236" s="72"/>
    </row>
    <row r="237" spans="1:19" s="73" customFormat="1" x14ac:dyDescent="0.25">
      <c r="A237" s="1">
        <f ca="1">IF(B237&gt;0,SUM(MAX($A$10:A238),1),0)</f>
        <v>144</v>
      </c>
      <c r="B237" s="26">
        <v>8</v>
      </c>
      <c r="C237" s="27" t="s">
        <v>375</v>
      </c>
      <c r="D237" s="26" t="s">
        <v>373</v>
      </c>
      <c r="E237" s="69" t="s">
        <v>224</v>
      </c>
      <c r="F237" s="26">
        <v>2</v>
      </c>
      <c r="G237" s="28">
        <v>980</v>
      </c>
      <c r="H237" s="29" t="str">
        <f t="shared" si="22"/>
        <v>nhỏ</v>
      </c>
      <c r="I237" s="28">
        <v>195</v>
      </c>
      <c r="J237" s="31"/>
      <c r="K237" s="31" t="s">
        <v>376</v>
      </c>
      <c r="L237" s="72"/>
      <c r="M237" s="72"/>
      <c r="N237" s="72"/>
      <c r="O237" s="72"/>
      <c r="P237" s="72"/>
      <c r="Q237" s="72">
        <f t="shared" si="23"/>
        <v>1960</v>
      </c>
      <c r="R237" s="72"/>
      <c r="S237" s="72"/>
    </row>
    <row r="238" spans="1:19" s="73" customFormat="1" x14ac:dyDescent="0.25">
      <c r="A238" s="1">
        <f ca="1">IF(B238&gt;0,SUM(MAX($A$10:A251),1),0)</f>
        <v>143</v>
      </c>
      <c r="B238" s="26">
        <v>9</v>
      </c>
      <c r="C238" s="27" t="s">
        <v>372</v>
      </c>
      <c r="D238" s="26" t="s">
        <v>373</v>
      </c>
      <c r="E238" s="69" t="s">
        <v>224</v>
      </c>
      <c r="F238" s="26">
        <v>2</v>
      </c>
      <c r="G238" s="28">
        <v>980</v>
      </c>
      <c r="H238" s="29" t="str">
        <f t="shared" si="22"/>
        <v>nhỏ</v>
      </c>
      <c r="I238" s="43">
        <v>280</v>
      </c>
      <c r="J238" s="31"/>
      <c r="K238" s="31" t="s">
        <v>374</v>
      </c>
      <c r="L238" s="72"/>
      <c r="M238" s="72"/>
      <c r="N238" s="72"/>
      <c r="O238" s="72"/>
      <c r="P238" s="72"/>
      <c r="Q238" s="72">
        <f t="shared" si="23"/>
        <v>1960</v>
      </c>
      <c r="R238" s="72"/>
      <c r="S238" s="72"/>
    </row>
    <row r="239" spans="1:19" s="73" customFormat="1" x14ac:dyDescent="0.25">
      <c r="A239" s="1">
        <f ca="1">IF(B239&gt;0,SUM(MAX($A$10:A247),1),0)</f>
        <v>137</v>
      </c>
      <c r="B239" s="26">
        <v>10</v>
      </c>
      <c r="C239" s="27" t="s">
        <v>359</v>
      </c>
      <c r="D239" s="26" t="s">
        <v>357</v>
      </c>
      <c r="E239" s="69" t="s">
        <v>224</v>
      </c>
      <c r="F239" s="26">
        <v>6</v>
      </c>
      <c r="G239" s="28">
        <v>1400</v>
      </c>
      <c r="H239" s="29" t="str">
        <f t="shared" si="22"/>
        <v>vừa</v>
      </c>
      <c r="I239" s="28">
        <v>680</v>
      </c>
      <c r="J239" s="31"/>
      <c r="K239" s="31" t="s">
        <v>360</v>
      </c>
      <c r="L239" s="72"/>
      <c r="M239" s="72"/>
      <c r="N239" s="72"/>
      <c r="O239" s="72"/>
      <c r="P239" s="72"/>
      <c r="Q239" s="70">
        <f t="shared" si="23"/>
        <v>8400</v>
      </c>
      <c r="R239" s="72"/>
      <c r="S239" s="72"/>
    </row>
    <row r="240" spans="1:19" s="73" customFormat="1" x14ac:dyDescent="0.25">
      <c r="A240" s="1">
        <f ca="1">IF(B240&gt;0,SUM(MAX($A$10:A251),1),0)</f>
        <v>145</v>
      </c>
      <c r="B240" s="26">
        <v>11</v>
      </c>
      <c r="C240" s="27" t="s">
        <v>377</v>
      </c>
      <c r="D240" s="26" t="s">
        <v>357</v>
      </c>
      <c r="E240" s="69" t="s">
        <v>224</v>
      </c>
      <c r="F240" s="26">
        <v>1</v>
      </c>
      <c r="G240" s="28">
        <v>980</v>
      </c>
      <c r="H240" s="29" t="str">
        <f t="shared" si="22"/>
        <v>nhỏ</v>
      </c>
      <c r="I240" s="28">
        <v>20</v>
      </c>
      <c r="J240" s="31"/>
      <c r="K240" s="31" t="s">
        <v>503</v>
      </c>
      <c r="L240" s="72"/>
      <c r="M240" s="72"/>
      <c r="N240" s="72"/>
      <c r="O240" s="72"/>
      <c r="P240" s="72"/>
      <c r="Q240" s="72">
        <f t="shared" si="23"/>
        <v>980</v>
      </c>
      <c r="R240" s="72"/>
      <c r="S240" s="72"/>
    </row>
    <row r="241" spans="1:19" s="73" customFormat="1" x14ac:dyDescent="0.25">
      <c r="A241" s="1">
        <f ca="1">IF(B241&gt;0,SUM(MAX($A$10:A247),1),0)</f>
        <v>136</v>
      </c>
      <c r="B241" s="26">
        <v>12</v>
      </c>
      <c r="C241" s="27" t="s">
        <v>356</v>
      </c>
      <c r="D241" s="26" t="s">
        <v>357</v>
      </c>
      <c r="E241" s="69" t="s">
        <v>224</v>
      </c>
      <c r="F241" s="26">
        <v>5</v>
      </c>
      <c r="G241" s="28">
        <v>1120</v>
      </c>
      <c r="H241" s="29" t="str">
        <f t="shared" si="22"/>
        <v>vừa</v>
      </c>
      <c r="I241" s="28">
        <v>500</v>
      </c>
      <c r="J241" s="31"/>
      <c r="K241" s="31" t="s">
        <v>358</v>
      </c>
      <c r="L241" s="72"/>
      <c r="M241" s="72"/>
      <c r="N241" s="72"/>
      <c r="O241" s="72"/>
      <c r="P241" s="72"/>
      <c r="Q241" s="70">
        <f t="shared" si="23"/>
        <v>5600</v>
      </c>
      <c r="R241" s="72"/>
      <c r="S241" s="72"/>
    </row>
    <row r="242" spans="1:19" s="73" customFormat="1" x14ac:dyDescent="0.25">
      <c r="A242" s="1">
        <f ca="1">IF(B242&gt;0,SUM(MAX($A$10:A249),1),0)</f>
        <v>147</v>
      </c>
      <c r="B242" s="26">
        <v>13</v>
      </c>
      <c r="C242" s="27" t="s">
        <v>380</v>
      </c>
      <c r="D242" s="26" t="s">
        <v>381</v>
      </c>
      <c r="E242" s="69" t="s">
        <v>382</v>
      </c>
      <c r="F242" s="26">
        <v>1</v>
      </c>
      <c r="G242" s="28">
        <v>980</v>
      </c>
      <c r="H242" s="29" t="str">
        <f t="shared" si="22"/>
        <v>nhỏ</v>
      </c>
      <c r="I242" s="28">
        <v>33</v>
      </c>
      <c r="J242" s="29"/>
      <c r="K242" s="69"/>
      <c r="L242" s="72"/>
      <c r="M242" s="72"/>
      <c r="N242" s="72"/>
      <c r="O242" s="72"/>
      <c r="P242" s="72"/>
      <c r="Q242" s="72">
        <f t="shared" si="23"/>
        <v>980</v>
      </c>
      <c r="R242" s="72"/>
      <c r="S242" s="72"/>
    </row>
    <row r="243" spans="1:19" s="73" customFormat="1" x14ac:dyDescent="0.25">
      <c r="A243" s="1">
        <f ca="1">IF(B243&gt;0,SUM(MAX($A$10:A242),1),0)</f>
        <v>148</v>
      </c>
      <c r="B243" s="26">
        <v>14</v>
      </c>
      <c r="C243" s="27" t="s">
        <v>383</v>
      </c>
      <c r="D243" s="26" t="s">
        <v>381</v>
      </c>
      <c r="E243" s="69" t="s">
        <v>382</v>
      </c>
      <c r="F243" s="26">
        <v>1</v>
      </c>
      <c r="G243" s="28">
        <v>1120</v>
      </c>
      <c r="H243" s="29" t="str">
        <f t="shared" si="22"/>
        <v>nhỏ</v>
      </c>
      <c r="I243" s="28">
        <v>115</v>
      </c>
      <c r="J243" s="29"/>
      <c r="K243" s="69"/>
      <c r="L243" s="72"/>
      <c r="M243" s="72"/>
      <c r="N243" s="72"/>
      <c r="O243" s="72"/>
      <c r="P243" s="72"/>
      <c r="Q243" s="72">
        <f t="shared" si="23"/>
        <v>1120</v>
      </c>
      <c r="R243" s="72"/>
      <c r="S243" s="72"/>
    </row>
    <row r="244" spans="1:19" s="73" customFormat="1" x14ac:dyDescent="0.25">
      <c r="A244" s="1">
        <f ca="1">IF(B244&gt;0,SUM(MAX($A$10:A243),1),0)</f>
        <v>150</v>
      </c>
      <c r="B244" s="26">
        <v>15</v>
      </c>
      <c r="C244" s="27" t="s">
        <v>385</v>
      </c>
      <c r="D244" s="26" t="s">
        <v>381</v>
      </c>
      <c r="E244" s="69" t="s">
        <v>382</v>
      </c>
      <c r="F244" s="26">
        <v>2</v>
      </c>
      <c r="G244" s="28">
        <v>980</v>
      </c>
      <c r="H244" s="29" t="str">
        <f t="shared" si="22"/>
        <v>nhỏ</v>
      </c>
      <c r="I244" s="28">
        <v>280</v>
      </c>
      <c r="J244" s="29"/>
      <c r="K244" s="69"/>
      <c r="L244" s="72"/>
      <c r="M244" s="72"/>
      <c r="N244" s="72"/>
      <c r="O244" s="72"/>
      <c r="P244" s="72"/>
      <c r="Q244" s="72">
        <f t="shared" si="23"/>
        <v>1960</v>
      </c>
      <c r="R244" s="72"/>
      <c r="S244" s="72"/>
    </row>
    <row r="245" spans="1:19" s="73" customFormat="1" x14ac:dyDescent="0.25">
      <c r="A245" s="1">
        <f ca="1">IF(B245&gt;0,SUM(MAX($A$10:A244),1),0)</f>
        <v>151</v>
      </c>
      <c r="B245" s="26">
        <v>16</v>
      </c>
      <c r="C245" s="27" t="s">
        <v>386</v>
      </c>
      <c r="D245" s="26" t="s">
        <v>381</v>
      </c>
      <c r="E245" s="69" t="s">
        <v>382</v>
      </c>
      <c r="F245" s="26">
        <v>2</v>
      </c>
      <c r="G245" s="28">
        <v>1120</v>
      </c>
      <c r="H245" s="29" t="str">
        <f t="shared" si="22"/>
        <v>nhỏ</v>
      </c>
      <c r="I245" s="28">
        <v>150</v>
      </c>
      <c r="J245" s="29"/>
      <c r="K245" s="69"/>
      <c r="L245" s="72"/>
      <c r="M245" s="72"/>
      <c r="N245" s="72"/>
      <c r="O245" s="72"/>
      <c r="P245" s="72"/>
      <c r="Q245" s="72">
        <f t="shared" si="23"/>
        <v>2240</v>
      </c>
      <c r="R245" s="72"/>
      <c r="S245" s="72"/>
    </row>
    <row r="246" spans="1:19" s="73" customFormat="1" x14ac:dyDescent="0.25">
      <c r="A246" s="1">
        <f ca="1">IF(B246&gt;0,SUM(MAX($A$10:A232),1),0)</f>
        <v>135</v>
      </c>
      <c r="B246" s="202">
        <v>17</v>
      </c>
      <c r="C246" s="204" t="s">
        <v>353</v>
      </c>
      <c r="D246" s="202" t="s">
        <v>354</v>
      </c>
      <c r="E246" s="228" t="s">
        <v>355</v>
      </c>
      <c r="F246" s="26">
        <v>2</v>
      </c>
      <c r="G246" s="28">
        <v>980</v>
      </c>
      <c r="H246" s="208" t="str">
        <f t="shared" si="20"/>
        <v>vừa</v>
      </c>
      <c r="I246" s="212">
        <v>745</v>
      </c>
      <c r="J246" s="29"/>
      <c r="K246" s="69"/>
      <c r="L246" s="72"/>
      <c r="M246" s="72"/>
      <c r="N246" s="72"/>
      <c r="O246" s="72"/>
      <c r="P246" s="72"/>
      <c r="Q246" s="70">
        <f>F246*G246+F247*G247</f>
        <v>4200</v>
      </c>
      <c r="R246" s="72"/>
      <c r="S246" s="72"/>
    </row>
    <row r="247" spans="1:19" s="73" customFormat="1" x14ac:dyDescent="0.25">
      <c r="A247" s="1">
        <f>IF(B247&gt;0,SUM(MAX($A$10:A246),1),0)</f>
        <v>0</v>
      </c>
      <c r="B247" s="203"/>
      <c r="C247" s="205"/>
      <c r="D247" s="203"/>
      <c r="E247" s="229"/>
      <c r="F247" s="26">
        <v>2</v>
      </c>
      <c r="G247" s="28">
        <v>1120</v>
      </c>
      <c r="H247" s="209"/>
      <c r="I247" s="213"/>
      <c r="J247" s="29"/>
      <c r="K247" s="69"/>
      <c r="L247" s="72"/>
      <c r="M247" s="72"/>
      <c r="N247" s="72"/>
      <c r="O247" s="72"/>
      <c r="P247" s="72"/>
      <c r="Q247" s="72"/>
      <c r="R247" s="72"/>
      <c r="S247" s="72"/>
    </row>
    <row r="248" spans="1:19" s="73" customFormat="1" ht="19.5" customHeight="1" x14ac:dyDescent="0.25">
      <c r="A248" s="1">
        <f ca="1">IF(B248&gt;0,SUM(MAX($A$10:A247),1),0)</f>
        <v>138</v>
      </c>
      <c r="B248" s="26">
        <v>18</v>
      </c>
      <c r="C248" s="27" t="s">
        <v>361</v>
      </c>
      <c r="D248" s="26" t="s">
        <v>362</v>
      </c>
      <c r="E248" s="69" t="s">
        <v>363</v>
      </c>
      <c r="F248" s="26">
        <v>6</v>
      </c>
      <c r="G248" s="28">
        <v>980</v>
      </c>
      <c r="H248" s="29" t="str">
        <f t="shared" si="20"/>
        <v>vừa</v>
      </c>
      <c r="I248" s="28">
        <v>450</v>
      </c>
      <c r="J248" s="29"/>
      <c r="K248" s="69"/>
      <c r="L248" s="72"/>
      <c r="M248" s="72"/>
      <c r="N248" s="72"/>
      <c r="O248" s="72"/>
      <c r="P248" s="72"/>
      <c r="Q248" s="70">
        <f t="shared" si="21"/>
        <v>5880</v>
      </c>
      <c r="R248" s="72"/>
      <c r="S248" s="72"/>
    </row>
    <row r="249" spans="1:19" s="73" customFormat="1" ht="19.5" customHeight="1" x14ac:dyDescent="0.25">
      <c r="A249" s="1">
        <f ca="1">IF(B249&gt;0,SUM(MAX($A$10:A251),1),0)</f>
        <v>146</v>
      </c>
      <c r="B249" s="26">
        <v>19</v>
      </c>
      <c r="C249" s="27" t="s">
        <v>379</v>
      </c>
      <c r="D249" s="26" t="s">
        <v>379</v>
      </c>
      <c r="E249" s="69" t="s">
        <v>363</v>
      </c>
      <c r="F249" s="26">
        <v>2</v>
      </c>
      <c r="G249" s="28">
        <v>1120</v>
      </c>
      <c r="H249" s="29" t="str">
        <f t="shared" si="20"/>
        <v>nhỏ</v>
      </c>
      <c r="I249" s="28">
        <v>250</v>
      </c>
      <c r="J249" s="29"/>
      <c r="K249" s="69"/>
      <c r="L249" s="72"/>
      <c r="M249" s="72"/>
      <c r="N249" s="72"/>
      <c r="O249" s="72"/>
      <c r="P249" s="72"/>
      <c r="Q249" s="72">
        <f t="shared" ref="Q249:Q253" si="24">F249*G249</f>
        <v>2240</v>
      </c>
      <c r="R249" s="72"/>
      <c r="S249" s="72"/>
    </row>
    <row r="250" spans="1:19" s="73" customFormat="1" ht="19.5" customHeight="1" x14ac:dyDescent="0.25">
      <c r="A250" s="1">
        <f ca="1">IF(B250&gt;0,SUM(MAX($A$10:A243),1),0)</f>
        <v>149</v>
      </c>
      <c r="B250" s="26">
        <v>20</v>
      </c>
      <c r="C250" s="27" t="s">
        <v>384</v>
      </c>
      <c r="D250" s="26" t="s">
        <v>381</v>
      </c>
      <c r="E250" s="69" t="s">
        <v>363</v>
      </c>
      <c r="F250" s="26">
        <v>2</v>
      </c>
      <c r="G250" s="28">
        <v>980</v>
      </c>
      <c r="H250" s="29" t="str">
        <f>IF(AND(Q250&lt;3600,Q250&gt;0),"nhỏ",IF(AND(Q250&gt;=3600,Q250&lt;72000),"vừa",IF(Q250&lt;&gt;0,"lớn",0)))</f>
        <v>nhỏ</v>
      </c>
      <c r="I250" s="28">
        <v>108</v>
      </c>
      <c r="J250" s="29"/>
      <c r="K250" s="69"/>
      <c r="L250" s="72"/>
      <c r="M250" s="72"/>
      <c r="N250" s="72"/>
      <c r="O250" s="72"/>
      <c r="P250" s="72"/>
      <c r="Q250" s="72">
        <f>F250*G250</f>
        <v>1960</v>
      </c>
      <c r="R250" s="72"/>
      <c r="S250" s="72"/>
    </row>
    <row r="251" spans="1:19" s="73" customFormat="1" ht="19.5" customHeight="1" x14ac:dyDescent="0.25">
      <c r="A251" s="1">
        <f ca="1">IF(B251&gt;0,SUM(MAX($A$10:A248),1),0)</f>
        <v>142</v>
      </c>
      <c r="B251" s="26">
        <v>21</v>
      </c>
      <c r="C251" s="27" t="s">
        <v>371</v>
      </c>
      <c r="D251" s="26" t="s">
        <v>354</v>
      </c>
      <c r="E251" s="74" t="s">
        <v>355</v>
      </c>
      <c r="F251" s="26">
        <v>2</v>
      </c>
      <c r="G251" s="28">
        <v>980</v>
      </c>
      <c r="H251" s="29" t="str">
        <f>IF(AND(Q251&lt;3600,Q251&gt;0),"nhỏ",IF(AND(Q251&gt;=3600,Q251&lt;72000),"vừa",IF(Q251&lt;&gt;0,"lớn",0)))</f>
        <v>nhỏ</v>
      </c>
      <c r="I251" s="28">
        <v>95</v>
      </c>
      <c r="J251" s="29"/>
      <c r="K251" s="69"/>
      <c r="L251" s="72"/>
      <c r="M251" s="72"/>
      <c r="N251" s="72"/>
      <c r="O251" s="72"/>
      <c r="P251" s="72"/>
      <c r="Q251" s="72">
        <f>F251*G251</f>
        <v>1960</v>
      </c>
      <c r="R251" s="72"/>
      <c r="S251" s="72"/>
    </row>
    <row r="252" spans="1:19" s="73" customFormat="1" ht="19.5" customHeight="1" x14ac:dyDescent="0.25">
      <c r="A252" s="1">
        <f ca="1">IF(B252&gt;0,SUM(MAX($A$10:A250),1),0)</f>
        <v>152</v>
      </c>
      <c r="B252" s="26">
        <v>22</v>
      </c>
      <c r="C252" s="27" t="s">
        <v>387</v>
      </c>
      <c r="D252" s="26" t="s">
        <v>388</v>
      </c>
      <c r="E252" s="69" t="s">
        <v>389</v>
      </c>
      <c r="F252" s="26">
        <v>2</v>
      </c>
      <c r="G252" s="28">
        <v>1120</v>
      </c>
      <c r="H252" s="29" t="str">
        <f t="shared" si="20"/>
        <v>nhỏ</v>
      </c>
      <c r="I252" s="28">
        <v>180</v>
      </c>
      <c r="J252" s="29"/>
      <c r="K252" s="69"/>
      <c r="L252" s="72"/>
      <c r="M252" s="72"/>
      <c r="N252" s="72"/>
      <c r="O252" s="72"/>
      <c r="P252" s="72"/>
      <c r="Q252" s="72">
        <f t="shared" si="24"/>
        <v>2240</v>
      </c>
      <c r="R252" s="72"/>
      <c r="S252" s="72"/>
    </row>
    <row r="253" spans="1:19" s="73" customFormat="1" ht="19.5" customHeight="1" x14ac:dyDescent="0.25">
      <c r="A253" s="1">
        <f ca="1">IF(B253&gt;0,SUM(MAX($A$10:A252),1),0)</f>
        <v>153</v>
      </c>
      <c r="B253" s="26">
        <v>23</v>
      </c>
      <c r="C253" s="27" t="s">
        <v>390</v>
      </c>
      <c r="D253" s="26" t="s">
        <v>391</v>
      </c>
      <c r="E253" s="69" t="s">
        <v>392</v>
      </c>
      <c r="F253" s="26">
        <v>1</v>
      </c>
      <c r="G253" s="28">
        <v>980</v>
      </c>
      <c r="H253" s="29" t="str">
        <f t="shared" si="20"/>
        <v>nhỏ</v>
      </c>
      <c r="I253" s="28">
        <v>30</v>
      </c>
      <c r="J253" s="29"/>
      <c r="K253" s="69"/>
      <c r="L253" s="72"/>
      <c r="M253" s="72"/>
      <c r="N253" s="72"/>
      <c r="O253" s="72"/>
      <c r="P253" s="72"/>
      <c r="Q253" s="72">
        <f t="shared" si="24"/>
        <v>980</v>
      </c>
      <c r="R253" s="72"/>
      <c r="S253" s="72"/>
    </row>
    <row r="254" spans="1:19" s="76" customFormat="1" x14ac:dyDescent="0.25">
      <c r="A254" s="1">
        <f>IF(B254&gt;0,SUM(MAX($A$10:A253),1),0)</f>
        <v>0</v>
      </c>
      <c r="B254" s="64"/>
      <c r="C254" s="20" t="s">
        <v>34</v>
      </c>
      <c r="D254" s="64" t="str">
        <f>CONCATENATE(COUNT(B254:B269)," trạm")</f>
        <v>11 trạm</v>
      </c>
      <c r="E254" s="64"/>
      <c r="F254" s="65">
        <f>+SUM(F255:F269)</f>
        <v>88</v>
      </c>
      <c r="G254" s="31"/>
      <c r="H254" s="29"/>
      <c r="I254" s="29"/>
      <c r="J254" s="29"/>
      <c r="K254" s="64"/>
      <c r="L254" s="25">
        <f>COUNTIF(H259:H269,"lớn")</f>
        <v>1</v>
      </c>
      <c r="M254" s="25">
        <f>COUNTIF(H259:H269,"vừa")</f>
        <v>5</v>
      </c>
      <c r="N254" s="25">
        <f>COUNTIF(H259:H269,"nhỏ")</f>
        <v>3</v>
      </c>
      <c r="O254" s="75"/>
      <c r="P254" s="75"/>
      <c r="Q254" s="75">
        <f>SUM(Q259:Q269)</f>
        <v>311040</v>
      </c>
      <c r="R254" s="75"/>
      <c r="S254" s="75"/>
    </row>
    <row r="255" spans="1:19" s="73" customFormat="1" ht="16.5" customHeight="1" x14ac:dyDescent="0.25">
      <c r="A255" s="1">
        <f ca="1">IF(B255&gt;0,SUM(MAX($A$10:A263),1),0)</f>
        <v>156</v>
      </c>
      <c r="B255" s="202">
        <v>1</v>
      </c>
      <c r="C255" s="107" t="s">
        <v>506</v>
      </c>
      <c r="D255" s="202" t="s">
        <v>357</v>
      </c>
      <c r="E255" s="228" t="s">
        <v>344</v>
      </c>
      <c r="F255" s="26">
        <v>20</v>
      </c>
      <c r="G255" s="28">
        <v>980</v>
      </c>
      <c r="H255" s="208" t="str">
        <f>IF(AND(Q255&lt;3600,Q255&gt;0),"nhỏ",IF(AND(Q255&gt;=3600,Q255&lt;72000),"vừa",IF(Q255&lt;&gt;0,"lớn",0)))</f>
        <v>vừa</v>
      </c>
      <c r="I255" s="29"/>
      <c r="J255" s="200">
        <v>2800</v>
      </c>
      <c r="K255" s="31" t="s">
        <v>399</v>
      </c>
      <c r="L255" s="72"/>
      <c r="M255" s="72"/>
      <c r="N255" s="72"/>
      <c r="O255" s="72"/>
      <c r="P255" s="72"/>
      <c r="Q255" s="72">
        <f>F255*G255+F257*G257</f>
        <v>59600</v>
      </c>
      <c r="R255" s="72"/>
      <c r="S255" s="72"/>
    </row>
    <row r="256" spans="1:19" s="73" customFormat="1" x14ac:dyDescent="0.25">
      <c r="A256" s="1"/>
      <c r="B256" s="210"/>
      <c r="C256" s="107" t="s">
        <v>510</v>
      </c>
      <c r="D256" s="210"/>
      <c r="E256" s="230"/>
      <c r="F256" s="26">
        <v>4</v>
      </c>
      <c r="G256" s="28">
        <v>980</v>
      </c>
      <c r="H256" s="211"/>
      <c r="I256" s="29"/>
      <c r="J256" s="216"/>
      <c r="K256" s="31"/>
      <c r="L256" s="72"/>
      <c r="M256" s="72"/>
      <c r="N256" s="72"/>
      <c r="O256" s="72"/>
      <c r="P256" s="72"/>
      <c r="Q256" s="72"/>
      <c r="R256" s="72"/>
      <c r="S256" s="72"/>
    </row>
    <row r="257" spans="1:19" s="73" customFormat="1" x14ac:dyDescent="0.25">
      <c r="A257" s="1"/>
      <c r="B257" s="203"/>
      <c r="C257" s="107" t="s">
        <v>507</v>
      </c>
      <c r="D257" s="203"/>
      <c r="E257" s="229"/>
      <c r="F257" s="26">
        <v>10</v>
      </c>
      <c r="G257" s="28">
        <v>4000</v>
      </c>
      <c r="H257" s="209"/>
      <c r="I257" s="29"/>
      <c r="J257" s="201"/>
      <c r="K257" s="31" t="s">
        <v>400</v>
      </c>
      <c r="L257" s="72"/>
      <c r="M257" s="72"/>
      <c r="N257" s="72"/>
      <c r="O257" s="72"/>
      <c r="P257" s="72"/>
      <c r="Q257" s="72"/>
      <c r="R257" s="72"/>
      <c r="S257" s="72"/>
    </row>
    <row r="258" spans="1:19" s="73" customFormat="1" ht="33" x14ac:dyDescent="0.25">
      <c r="A258" s="1">
        <f ca="1">IF(B258&gt;0,SUM(MAX($A$10:A255),1),0)</f>
        <v>157</v>
      </c>
      <c r="B258" s="26">
        <v>2</v>
      </c>
      <c r="C258" s="27" t="s">
        <v>404</v>
      </c>
      <c r="D258" s="26" t="s">
        <v>366</v>
      </c>
      <c r="E258" s="69" t="s">
        <v>344</v>
      </c>
      <c r="F258" s="26">
        <v>3</v>
      </c>
      <c r="G258" s="28">
        <v>2400</v>
      </c>
      <c r="H258" s="29" t="str">
        <f>IF(AND(Q258&lt;3600,Q258&gt;0),"nhỏ",IF(AND(Q258&gt;=3600,Q258&lt;72000),"vừa",IF(Q258&lt;&gt;0,"lớn",0)))</f>
        <v>vừa</v>
      </c>
      <c r="I258" s="29"/>
      <c r="J258" s="28">
        <v>145</v>
      </c>
      <c r="K258" s="31" t="s">
        <v>405</v>
      </c>
      <c r="L258" s="72"/>
      <c r="M258" s="72"/>
      <c r="N258" s="72"/>
      <c r="O258" s="72"/>
      <c r="P258" s="72"/>
      <c r="Q258" s="72">
        <f>F258*G258</f>
        <v>7200</v>
      </c>
      <c r="R258" s="72"/>
      <c r="S258" s="72"/>
    </row>
    <row r="259" spans="1:19" s="73" customFormat="1" x14ac:dyDescent="0.25">
      <c r="A259" s="1">
        <f ca="1">IF(B259&gt;0,SUM(MAX($A$10:A254),1),0)</f>
        <v>154</v>
      </c>
      <c r="B259" s="202">
        <v>3</v>
      </c>
      <c r="C259" s="107" t="s">
        <v>511</v>
      </c>
      <c r="D259" s="202" t="s">
        <v>381</v>
      </c>
      <c r="E259" s="228" t="s">
        <v>344</v>
      </c>
      <c r="F259" s="26">
        <v>15</v>
      </c>
      <c r="G259" s="28">
        <v>8000</v>
      </c>
      <c r="H259" s="208" t="str">
        <f t="shared" si="20"/>
        <v>lớn</v>
      </c>
      <c r="I259" s="200"/>
      <c r="J259" s="200">
        <v>9220</v>
      </c>
      <c r="K259" s="31" t="s">
        <v>394</v>
      </c>
      <c r="L259" s="72"/>
      <c r="M259" s="72"/>
      <c r="N259" s="72"/>
      <c r="O259" s="72"/>
      <c r="P259" s="72"/>
      <c r="Q259" s="72">
        <f>F259*G259+F260*G260</f>
        <v>230000</v>
      </c>
      <c r="R259" s="72"/>
      <c r="S259" s="72"/>
    </row>
    <row r="260" spans="1:19" s="73" customFormat="1" x14ac:dyDescent="0.25">
      <c r="A260" s="1">
        <f>IF(B260&gt;0,SUM(MAX($A$10:A259),1),0)</f>
        <v>0</v>
      </c>
      <c r="B260" s="203"/>
      <c r="C260" s="107" t="s">
        <v>512</v>
      </c>
      <c r="D260" s="203"/>
      <c r="E260" s="229"/>
      <c r="F260" s="26">
        <v>5</v>
      </c>
      <c r="G260" s="28">
        <v>22000</v>
      </c>
      <c r="H260" s="209"/>
      <c r="I260" s="201"/>
      <c r="J260" s="201"/>
      <c r="K260" s="31" t="s">
        <v>395</v>
      </c>
      <c r="L260" s="72"/>
      <c r="M260" s="72"/>
      <c r="N260" s="72"/>
      <c r="O260" s="72"/>
      <c r="P260" s="72"/>
      <c r="Q260" s="72"/>
      <c r="R260" s="72"/>
      <c r="S260" s="72"/>
    </row>
    <row r="261" spans="1:19" s="73" customFormat="1" x14ac:dyDescent="0.25">
      <c r="A261" s="1">
        <f ca="1">IF(B261&gt;0,SUM(MAX($A$10:A269),1),0)</f>
        <v>162</v>
      </c>
      <c r="B261" s="202">
        <v>4</v>
      </c>
      <c r="C261" s="204" t="s">
        <v>411</v>
      </c>
      <c r="D261" s="202" t="s">
        <v>300</v>
      </c>
      <c r="E261" s="228" t="s">
        <v>26</v>
      </c>
      <c r="F261" s="26">
        <v>2</v>
      </c>
      <c r="G261" s="28">
        <v>980</v>
      </c>
      <c r="H261" s="208" t="str">
        <f>IF(AND(Q261&lt;3600,Q261&gt;0),"nhỏ",IF(AND(Q261&gt;=3600,Q261&lt;72000),"vừa",IF(Q261&lt;&gt;0,"lớn",0)))</f>
        <v>vừa</v>
      </c>
      <c r="I261" s="208"/>
      <c r="J261" s="212">
        <v>180</v>
      </c>
      <c r="K261" s="212" t="s">
        <v>412</v>
      </c>
      <c r="L261" s="72"/>
      <c r="M261" s="72"/>
      <c r="N261" s="72"/>
      <c r="O261" s="72"/>
      <c r="P261" s="72"/>
      <c r="Q261" s="72">
        <f>F261*G261+F262*G262</f>
        <v>4760</v>
      </c>
      <c r="R261" s="72"/>
      <c r="S261" s="72"/>
    </row>
    <row r="262" spans="1:19" s="79" customFormat="1" x14ac:dyDescent="0.25">
      <c r="A262" s="1">
        <f>IF(B262&gt;0,SUM(MAX($A$10:A261),1),0)</f>
        <v>0</v>
      </c>
      <c r="B262" s="203"/>
      <c r="C262" s="205"/>
      <c r="D262" s="203"/>
      <c r="E262" s="229"/>
      <c r="F262" s="26">
        <v>2</v>
      </c>
      <c r="G262" s="28">
        <v>1400</v>
      </c>
      <c r="H262" s="209"/>
      <c r="I262" s="209"/>
      <c r="J262" s="213"/>
      <c r="K262" s="213"/>
      <c r="L262" s="78"/>
      <c r="M262" s="78"/>
      <c r="N262" s="78"/>
      <c r="O262" s="78"/>
      <c r="P262" s="78"/>
      <c r="Q262" s="78"/>
      <c r="R262" s="78"/>
      <c r="S262" s="78"/>
    </row>
    <row r="263" spans="1:19" s="73" customFormat="1" x14ac:dyDescent="0.25">
      <c r="A263" s="1">
        <f ca="1">IF(B263&gt;0,SUM(MAX($A$10:A260),1),0)</f>
        <v>155</v>
      </c>
      <c r="B263" s="26">
        <v>5</v>
      </c>
      <c r="C263" s="27" t="s">
        <v>396</v>
      </c>
      <c r="D263" s="26" t="s">
        <v>369</v>
      </c>
      <c r="E263" s="69" t="s">
        <v>26</v>
      </c>
      <c r="F263" s="26">
        <v>14</v>
      </c>
      <c r="G263" s="28">
        <v>4000</v>
      </c>
      <c r="H263" s="29" t="str">
        <f t="shared" ref="H263:H269" si="25">IF(AND(Q263&lt;3600,Q263&gt;0),"nhỏ",IF(AND(Q263&gt;=3600,Q263&lt;72000),"vừa",IF(Q263&lt;&gt;0,"lớn",0)))</f>
        <v>vừa</v>
      </c>
      <c r="I263" s="29"/>
      <c r="J263" s="28">
        <v>2200</v>
      </c>
      <c r="K263" s="31" t="s">
        <v>397</v>
      </c>
      <c r="L263" s="72"/>
      <c r="M263" s="72"/>
      <c r="N263" s="72"/>
      <c r="O263" s="72"/>
      <c r="P263" s="72"/>
      <c r="Q263" s="72">
        <f>F263*G263</f>
        <v>56000</v>
      </c>
      <c r="R263" s="72"/>
      <c r="S263" s="72"/>
    </row>
    <row r="264" spans="1:19" s="73" customFormat="1" x14ac:dyDescent="0.25">
      <c r="A264" s="1"/>
      <c r="B264" s="26">
        <v>6</v>
      </c>
      <c r="C264" s="27" t="s">
        <v>401</v>
      </c>
      <c r="D264" s="26" t="s">
        <v>373</v>
      </c>
      <c r="E264" s="69" t="s">
        <v>224</v>
      </c>
      <c r="F264" s="26">
        <v>4</v>
      </c>
      <c r="G264" s="28">
        <v>980</v>
      </c>
      <c r="H264" s="29" t="str">
        <f t="shared" si="25"/>
        <v>vừa</v>
      </c>
      <c r="I264" s="29"/>
      <c r="J264" s="77">
        <v>450</v>
      </c>
      <c r="K264" s="31" t="s">
        <v>402</v>
      </c>
      <c r="L264" s="72"/>
      <c r="M264" s="72"/>
      <c r="N264" s="72"/>
      <c r="O264" s="72"/>
      <c r="P264" s="72"/>
      <c r="Q264" s="72">
        <f>F264*G264</f>
        <v>3920</v>
      </c>
      <c r="R264" s="72"/>
      <c r="S264" s="72"/>
    </row>
    <row r="265" spans="1:19" s="73" customFormat="1" x14ac:dyDescent="0.25">
      <c r="A265" s="1"/>
      <c r="B265" s="26">
        <v>7</v>
      </c>
      <c r="C265" s="27" t="s">
        <v>381</v>
      </c>
      <c r="D265" s="26" t="s">
        <v>381</v>
      </c>
      <c r="E265" s="69" t="s">
        <v>403</v>
      </c>
      <c r="F265" s="26">
        <v>2</v>
      </c>
      <c r="G265" s="28">
        <v>2400</v>
      </c>
      <c r="H265" s="29" t="str">
        <f t="shared" si="25"/>
        <v>vừa</v>
      </c>
      <c r="I265" s="29"/>
      <c r="J265" s="28">
        <v>125</v>
      </c>
      <c r="K265" s="69"/>
      <c r="L265" s="72"/>
      <c r="M265" s="72"/>
      <c r="N265" s="72"/>
      <c r="O265" s="72"/>
      <c r="P265" s="72"/>
      <c r="Q265" s="72">
        <f t="shared" ref="Q265:Q269" si="26">F265*G265</f>
        <v>4800</v>
      </c>
      <c r="R265" s="72"/>
      <c r="S265" s="72"/>
    </row>
    <row r="266" spans="1:19" s="73" customFormat="1" x14ac:dyDescent="0.25">
      <c r="A266" s="1">
        <f ca="1">IF(B266&gt;0,SUM(MAX($A$10:A268),1),0)</f>
        <v>159</v>
      </c>
      <c r="B266" s="26">
        <v>8</v>
      </c>
      <c r="C266" s="27" t="s">
        <v>408</v>
      </c>
      <c r="D266" s="26" t="s">
        <v>366</v>
      </c>
      <c r="E266" s="69" t="s">
        <v>403</v>
      </c>
      <c r="F266" s="26">
        <v>1</v>
      </c>
      <c r="G266" s="28">
        <v>2400</v>
      </c>
      <c r="H266" s="29" t="str">
        <f>IF(AND(Q266&lt;3600,Q266&gt;0),"nhỏ",IF(AND(Q266&gt;=3600,Q266&lt;72000),"vừa",IF(Q266&lt;&gt;0,"lớn",0)))</f>
        <v>nhỏ</v>
      </c>
      <c r="I266" s="29"/>
      <c r="J266" s="28">
        <v>70</v>
      </c>
      <c r="K266" s="69"/>
      <c r="L266" s="72"/>
      <c r="M266" s="72"/>
      <c r="N266" s="72"/>
      <c r="O266" s="72"/>
      <c r="P266" s="72"/>
      <c r="Q266" s="72">
        <f>F266*G266</f>
        <v>2400</v>
      </c>
      <c r="R266" s="72"/>
      <c r="S266" s="72"/>
    </row>
    <row r="267" spans="1:19" s="73" customFormat="1" x14ac:dyDescent="0.25">
      <c r="A267" s="1">
        <f ca="1">IF(B267&gt;0,SUM(MAX($A$10:A269),1),0)</f>
        <v>161</v>
      </c>
      <c r="B267" s="26">
        <v>9</v>
      </c>
      <c r="C267" s="27" t="s">
        <v>410</v>
      </c>
      <c r="D267" s="26" t="s">
        <v>407</v>
      </c>
      <c r="E267" s="69" t="s">
        <v>382</v>
      </c>
      <c r="F267" s="26">
        <v>2</v>
      </c>
      <c r="G267" s="28">
        <v>980</v>
      </c>
      <c r="H267" s="29" t="str">
        <f>IF(AND(Q267&lt;3600,Q267&gt;0),"nhỏ",IF(AND(Q267&gt;=3600,Q267&lt;72000),"vừa",IF(Q267&lt;&gt;0,"lớn",0)))</f>
        <v>nhỏ</v>
      </c>
      <c r="I267" s="29"/>
      <c r="J267" s="28">
        <v>146</v>
      </c>
      <c r="K267" s="69"/>
      <c r="L267" s="72"/>
      <c r="M267" s="72"/>
      <c r="N267" s="72"/>
      <c r="O267" s="72"/>
      <c r="P267" s="72"/>
      <c r="Q267" s="72">
        <f>F267*G267</f>
        <v>1960</v>
      </c>
      <c r="R267" s="72"/>
      <c r="S267" s="72"/>
    </row>
    <row r="268" spans="1:19" s="73" customFormat="1" x14ac:dyDescent="0.25">
      <c r="A268" s="1">
        <f ca="1">IF(B268&gt;0,SUM(MAX($A$10:A265),1),0)</f>
        <v>158</v>
      </c>
      <c r="B268" s="26">
        <v>10</v>
      </c>
      <c r="C268" s="27" t="s">
        <v>406</v>
      </c>
      <c r="D268" s="26" t="s">
        <v>407</v>
      </c>
      <c r="E268" s="69" t="s">
        <v>202</v>
      </c>
      <c r="F268" s="26">
        <v>3</v>
      </c>
      <c r="G268" s="28">
        <v>1900</v>
      </c>
      <c r="H268" s="29" t="str">
        <f t="shared" si="25"/>
        <v>vừa</v>
      </c>
      <c r="I268" s="29"/>
      <c r="J268" s="28">
        <v>159</v>
      </c>
      <c r="K268" s="69"/>
      <c r="L268" s="72"/>
      <c r="M268" s="72"/>
      <c r="N268" s="72"/>
      <c r="O268" s="72"/>
      <c r="P268" s="72"/>
      <c r="Q268" s="72">
        <f t="shared" si="26"/>
        <v>5700</v>
      </c>
      <c r="R268" s="72"/>
      <c r="S268" s="72"/>
    </row>
    <row r="269" spans="1:19" s="73" customFormat="1" x14ac:dyDescent="0.25">
      <c r="A269" s="1">
        <f ca="1">IF(B269&gt;0,SUM(MAX($A$10:A268),1),0)</f>
        <v>160</v>
      </c>
      <c r="B269" s="26">
        <v>11</v>
      </c>
      <c r="C269" s="27" t="s">
        <v>409</v>
      </c>
      <c r="D269" s="26" t="s">
        <v>407</v>
      </c>
      <c r="E269" s="69" t="s">
        <v>202</v>
      </c>
      <c r="F269" s="26">
        <v>1</v>
      </c>
      <c r="G269" s="28">
        <v>1500</v>
      </c>
      <c r="H269" s="29" t="str">
        <f t="shared" si="25"/>
        <v>nhỏ</v>
      </c>
      <c r="I269" s="29"/>
      <c r="J269" s="28">
        <v>60</v>
      </c>
      <c r="K269" s="69"/>
      <c r="L269" s="72"/>
      <c r="M269" s="72"/>
      <c r="N269" s="72"/>
      <c r="O269" s="72"/>
      <c r="P269" s="72"/>
      <c r="Q269" s="72">
        <f t="shared" si="26"/>
        <v>1500</v>
      </c>
      <c r="R269" s="72"/>
      <c r="S269" s="72"/>
    </row>
    <row r="270" spans="1:19" s="76" customFormat="1" x14ac:dyDescent="0.25">
      <c r="A270" s="1">
        <f>IF(B270&gt;0,SUM(MAX($A$10:A269),1),0)</f>
        <v>0</v>
      </c>
      <c r="B270" s="64"/>
      <c r="C270" s="20" t="s">
        <v>112</v>
      </c>
      <c r="D270" s="64" t="str">
        <f>CONCATENATE(COUNT(B270:B299)," trạm")</f>
        <v>22 trạm</v>
      </c>
      <c r="E270" s="64"/>
      <c r="F270" s="65">
        <f>+SUM(F271:F299)</f>
        <v>109</v>
      </c>
      <c r="G270" s="31"/>
      <c r="H270" s="64"/>
      <c r="I270" s="64"/>
      <c r="J270" s="64"/>
      <c r="K270" s="64"/>
      <c r="L270" s="25">
        <f>COUNTIF(H272:H299,"lớn")</f>
        <v>1</v>
      </c>
      <c r="M270" s="25">
        <f>COUNTIF(H272:H299,"vừa")</f>
        <v>10</v>
      </c>
      <c r="N270" s="25">
        <f>COUNTIF(H272:H299,"nhỏ")</f>
        <v>10</v>
      </c>
      <c r="O270" s="75"/>
      <c r="P270" s="75"/>
      <c r="Q270" s="75">
        <f>SUM(Q272:Q299)</f>
        <v>368612</v>
      </c>
      <c r="R270" s="75"/>
      <c r="S270" s="75"/>
    </row>
    <row r="271" spans="1:19" s="73" customFormat="1" x14ac:dyDescent="0.25">
      <c r="A271" s="1">
        <f ca="1">IF(B271&gt;0,SUM(MAX($A$10:A275),1),0)</f>
        <v>166</v>
      </c>
      <c r="B271" s="26">
        <v>1</v>
      </c>
      <c r="C271" s="27" t="s">
        <v>418</v>
      </c>
      <c r="D271" s="26" t="s">
        <v>239</v>
      </c>
      <c r="E271" s="74" t="s">
        <v>344</v>
      </c>
      <c r="F271" s="26">
        <v>7</v>
      </c>
      <c r="G271" s="28">
        <v>1120</v>
      </c>
      <c r="H271" s="29" t="str">
        <f>IF(AND(Q271&lt;3600,Q271&gt;0),"nhỏ",IF(AND(Q271&gt;=3600,Q271&lt;72000),"vừa",IF(Q271&lt;&gt;0,"lớn",0)))</f>
        <v>vừa</v>
      </c>
      <c r="I271" s="28">
        <v>225</v>
      </c>
      <c r="J271" s="43">
        <v>450</v>
      </c>
      <c r="K271" s="43" t="s">
        <v>419</v>
      </c>
      <c r="L271" s="72"/>
      <c r="M271" s="72"/>
      <c r="N271" s="72"/>
      <c r="O271" s="72"/>
      <c r="P271" s="72"/>
      <c r="Q271" s="72">
        <f>F271*G271</f>
        <v>7840</v>
      </c>
      <c r="R271" s="72"/>
      <c r="S271" s="72"/>
    </row>
    <row r="272" spans="1:19" s="73" customFormat="1" x14ac:dyDescent="0.25">
      <c r="A272" s="1">
        <f ca="1">IF(B272&gt;0,SUM(MAX($A$10:A270),1),0)</f>
        <v>163</v>
      </c>
      <c r="B272" s="26">
        <v>2</v>
      </c>
      <c r="C272" s="27" t="s">
        <v>357</v>
      </c>
      <c r="D272" s="26" t="s">
        <v>357</v>
      </c>
      <c r="E272" s="74" t="s">
        <v>344</v>
      </c>
      <c r="F272" s="26">
        <v>28</v>
      </c>
      <c r="G272" s="28">
        <v>8144</v>
      </c>
      <c r="H272" s="29" t="str">
        <f t="shared" ref="H272:H293" si="27">IF(AND(Q272&lt;3600,Q272&gt;0),"nhỏ",IF(AND(Q272&gt;=3600,Q272&lt;72000),"vừa",IF(Q272&lt;&gt;0,"lớn",0)))</f>
        <v>lớn</v>
      </c>
      <c r="I272" s="28">
        <v>2931</v>
      </c>
      <c r="J272" s="43">
        <v>9284</v>
      </c>
      <c r="K272" s="31" t="s">
        <v>413</v>
      </c>
      <c r="L272" s="72"/>
      <c r="M272" s="72"/>
      <c r="N272" s="72"/>
      <c r="O272" s="72"/>
      <c r="P272" s="72"/>
      <c r="Q272" s="72">
        <f>F272*G272</f>
        <v>228032</v>
      </c>
      <c r="R272" s="72"/>
      <c r="S272" s="72"/>
    </row>
    <row r="273" spans="1:19" s="73" customFormat="1" x14ac:dyDescent="0.25">
      <c r="A273" s="1">
        <f ca="1">IF(B273&gt;0,SUM(MAX($A$10:A276),1),0)</f>
        <v>168</v>
      </c>
      <c r="B273" s="26">
        <v>3</v>
      </c>
      <c r="C273" s="27" t="s">
        <v>422</v>
      </c>
      <c r="D273" s="26" t="s">
        <v>388</v>
      </c>
      <c r="E273" s="69" t="s">
        <v>26</v>
      </c>
      <c r="F273" s="26">
        <v>14</v>
      </c>
      <c r="G273" s="28">
        <v>4000</v>
      </c>
      <c r="H273" s="29" t="str">
        <f>IF(AND(Q273&lt;3600,Q273&gt;0),"nhỏ",IF(AND(Q273&gt;=3600,Q273&lt;72000),"vừa",IF(Q273&lt;&gt;0,"lớn",0)))</f>
        <v>vừa</v>
      </c>
      <c r="I273" s="28">
        <v>1850</v>
      </c>
      <c r="J273" s="43">
        <v>2850</v>
      </c>
      <c r="K273" s="31" t="s">
        <v>423</v>
      </c>
      <c r="L273" s="72"/>
      <c r="M273" s="72"/>
      <c r="N273" s="72"/>
      <c r="O273" s="72"/>
      <c r="P273" s="72"/>
      <c r="Q273" s="72">
        <f>F273*G273</f>
        <v>56000</v>
      </c>
      <c r="R273" s="72"/>
      <c r="S273" s="72"/>
    </row>
    <row r="274" spans="1:19" s="73" customFormat="1" x14ac:dyDescent="0.25">
      <c r="A274" s="1">
        <f ca="1">IF(B274&gt;0,SUM(MAX($A$10:A272),1),0)</f>
        <v>164</v>
      </c>
      <c r="B274" s="26">
        <v>4</v>
      </c>
      <c r="C274" s="27" t="s">
        <v>414</v>
      </c>
      <c r="D274" s="26" t="s">
        <v>373</v>
      </c>
      <c r="E274" s="69" t="s">
        <v>224</v>
      </c>
      <c r="F274" s="26">
        <v>4</v>
      </c>
      <c r="G274" s="28">
        <v>4000</v>
      </c>
      <c r="H274" s="29" t="str">
        <f t="shared" si="27"/>
        <v>vừa</v>
      </c>
      <c r="I274" s="43">
        <v>515</v>
      </c>
      <c r="J274" s="43">
        <v>630</v>
      </c>
      <c r="K274" s="43" t="s">
        <v>415</v>
      </c>
      <c r="L274" s="72"/>
      <c r="M274" s="72"/>
      <c r="N274" s="72"/>
      <c r="O274" s="72"/>
      <c r="P274" s="72"/>
      <c r="Q274" s="72">
        <f t="shared" ref="Q274:Q292" si="28">F274*G274</f>
        <v>16000</v>
      </c>
      <c r="R274" s="72"/>
      <c r="S274" s="72"/>
    </row>
    <row r="275" spans="1:19" s="73" customFormat="1" x14ac:dyDescent="0.25">
      <c r="A275" s="1">
        <f ca="1">IF(B275&gt;0,SUM(MAX($A$10:A274),1),0)</f>
        <v>165</v>
      </c>
      <c r="B275" s="26">
        <v>5</v>
      </c>
      <c r="C275" s="27" t="s">
        <v>416</v>
      </c>
      <c r="D275" s="26" t="s">
        <v>373</v>
      </c>
      <c r="E275" s="69" t="s">
        <v>224</v>
      </c>
      <c r="F275" s="26">
        <v>7</v>
      </c>
      <c r="G275" s="28">
        <v>1120</v>
      </c>
      <c r="H275" s="29" t="str">
        <f t="shared" si="27"/>
        <v>vừa</v>
      </c>
      <c r="I275" s="43">
        <v>195</v>
      </c>
      <c r="J275" s="43">
        <v>350</v>
      </c>
      <c r="K275" s="43" t="s">
        <v>417</v>
      </c>
      <c r="L275" s="72"/>
      <c r="M275" s="72"/>
      <c r="N275" s="72"/>
      <c r="O275" s="72"/>
      <c r="P275" s="72"/>
      <c r="Q275" s="72">
        <f t="shared" si="28"/>
        <v>7840</v>
      </c>
      <c r="R275" s="72"/>
      <c r="S275" s="72"/>
    </row>
    <row r="276" spans="1:19" s="73" customFormat="1" x14ac:dyDescent="0.25">
      <c r="A276" s="1">
        <f ca="1">IF(B276&gt;0,SUM(MAX($A$10:A275),1),0)</f>
        <v>167</v>
      </c>
      <c r="B276" s="26">
        <v>6</v>
      </c>
      <c r="C276" s="27" t="s">
        <v>420</v>
      </c>
      <c r="D276" s="26" t="s">
        <v>421</v>
      </c>
      <c r="E276" s="69" t="s">
        <v>382</v>
      </c>
      <c r="F276" s="26">
        <v>5</v>
      </c>
      <c r="G276" s="28">
        <v>980</v>
      </c>
      <c r="H276" s="29" t="str">
        <f t="shared" si="27"/>
        <v>vừa</v>
      </c>
      <c r="I276" s="28">
        <v>176</v>
      </c>
      <c r="J276" s="43">
        <v>850</v>
      </c>
      <c r="K276" s="69"/>
      <c r="L276" s="72"/>
      <c r="M276" s="72"/>
      <c r="N276" s="72"/>
      <c r="O276" s="72"/>
      <c r="P276" s="72"/>
      <c r="Q276" s="72">
        <f t="shared" si="28"/>
        <v>4900</v>
      </c>
      <c r="R276" s="72"/>
      <c r="S276" s="72"/>
    </row>
    <row r="277" spans="1:19" s="73" customFormat="1" x14ac:dyDescent="0.25">
      <c r="A277" s="1">
        <f ca="1">IF(B277&gt;0,SUM(MAX($A$10:A296),1),0)</f>
        <v>173</v>
      </c>
      <c r="B277" s="26">
        <v>7</v>
      </c>
      <c r="C277" s="27" t="s">
        <v>432</v>
      </c>
      <c r="D277" s="26" t="s">
        <v>407</v>
      </c>
      <c r="E277" s="69" t="s">
        <v>382</v>
      </c>
      <c r="F277" s="26">
        <v>3</v>
      </c>
      <c r="G277" s="28">
        <v>1900</v>
      </c>
      <c r="H277" s="29" t="str">
        <f>IF(AND(Q277&lt;3600,Q277&gt;0),"nhỏ",IF(AND(Q277&gt;=3600,Q277&lt;72000),"vừa",IF(Q277&lt;&gt;0,"lớn",0)))</f>
        <v>vừa</v>
      </c>
      <c r="I277" s="28">
        <v>50</v>
      </c>
      <c r="J277" s="28">
        <v>50</v>
      </c>
      <c r="K277" s="69"/>
      <c r="L277" s="72"/>
      <c r="M277" s="72"/>
      <c r="N277" s="72"/>
      <c r="O277" s="72"/>
      <c r="P277" s="72"/>
      <c r="Q277" s="72">
        <f>F277*G277</f>
        <v>5700</v>
      </c>
      <c r="R277" s="72"/>
      <c r="S277" s="72"/>
    </row>
    <row r="278" spans="1:19" s="73" customFormat="1" x14ac:dyDescent="0.25">
      <c r="A278" s="1">
        <f ca="1">IF(B278&gt;0,SUM(MAX($A$10:A297),1),0)</f>
        <v>175</v>
      </c>
      <c r="B278" s="202">
        <v>8</v>
      </c>
      <c r="C278" s="204" t="s">
        <v>434</v>
      </c>
      <c r="D278" s="202" t="s">
        <v>381</v>
      </c>
      <c r="E278" s="231" t="s">
        <v>382</v>
      </c>
      <c r="F278" s="26">
        <v>1</v>
      </c>
      <c r="G278" s="28">
        <v>980</v>
      </c>
      <c r="H278" s="208" t="str">
        <f>IF(AND(Q278&lt;3600,Q278&gt;0),"nhỏ",IF(AND(Q278&gt;=3600,Q278&lt;72000),"vừa",IF(Q278&lt;&gt;0,"lớn",0)))</f>
        <v>vừa</v>
      </c>
      <c r="I278" s="212">
        <v>265</v>
      </c>
      <c r="J278" s="226">
        <v>180</v>
      </c>
      <c r="K278" s="69"/>
      <c r="L278" s="72"/>
      <c r="M278" s="72"/>
      <c r="N278" s="72"/>
      <c r="O278" s="72"/>
      <c r="P278" s="72"/>
      <c r="Q278" s="72">
        <f>F278*G278+F279*G279</f>
        <v>5180</v>
      </c>
      <c r="R278" s="72"/>
      <c r="S278" s="72"/>
    </row>
    <row r="279" spans="1:19" s="73" customFormat="1" x14ac:dyDescent="0.25">
      <c r="A279" s="1">
        <f>IF(B279&gt;0,SUM(MAX($A$10:A278),1),0)</f>
        <v>0</v>
      </c>
      <c r="B279" s="203"/>
      <c r="C279" s="205"/>
      <c r="D279" s="203"/>
      <c r="E279" s="232"/>
      <c r="F279" s="26">
        <v>3</v>
      </c>
      <c r="G279" s="28">
        <v>1400</v>
      </c>
      <c r="H279" s="209"/>
      <c r="I279" s="213"/>
      <c r="J279" s="227"/>
      <c r="K279" s="69"/>
      <c r="L279" s="72"/>
      <c r="M279" s="72"/>
      <c r="N279" s="72"/>
      <c r="O279" s="72"/>
      <c r="P279" s="72"/>
      <c r="Q279" s="72"/>
      <c r="R279" s="72"/>
      <c r="S279" s="72"/>
    </row>
    <row r="280" spans="1:19" s="73" customFormat="1" x14ac:dyDescent="0.25">
      <c r="A280" s="1">
        <f ca="1">IF(B280&gt;0,SUM(MAX($A$10:A279),1),0)</f>
        <v>176</v>
      </c>
      <c r="B280" s="26">
        <v>9</v>
      </c>
      <c r="C280" s="27" t="s">
        <v>435</v>
      </c>
      <c r="D280" s="26" t="s">
        <v>407</v>
      </c>
      <c r="E280" s="69" t="s">
        <v>382</v>
      </c>
      <c r="F280" s="26">
        <v>2</v>
      </c>
      <c r="G280" s="28">
        <v>980</v>
      </c>
      <c r="H280" s="29" t="str">
        <f>IF(AND(Q280&lt;3600,Q280&gt;0),"nhỏ",IF(AND(Q280&gt;=3600,Q280&lt;72000),"vừa",IF(Q280&lt;&gt;0,"lớn",0)))</f>
        <v>nhỏ</v>
      </c>
      <c r="I280" s="28">
        <v>40</v>
      </c>
      <c r="J280" s="43">
        <v>42</v>
      </c>
      <c r="K280" s="69"/>
      <c r="L280" s="72"/>
      <c r="M280" s="72"/>
      <c r="N280" s="72"/>
      <c r="O280" s="72"/>
      <c r="P280" s="72"/>
      <c r="Q280" s="72">
        <f>F280*G280</f>
        <v>1960</v>
      </c>
      <c r="R280" s="72"/>
      <c r="S280" s="72"/>
    </row>
    <row r="281" spans="1:19" s="73" customFormat="1" x14ac:dyDescent="0.25">
      <c r="A281" s="1">
        <f ca="1">IF(B281&gt;0,SUM(MAX($A$10:A280),1),0)</f>
        <v>177</v>
      </c>
      <c r="B281" s="26">
        <v>10</v>
      </c>
      <c r="C281" s="27" t="s">
        <v>436</v>
      </c>
      <c r="D281" s="26" t="s">
        <v>407</v>
      </c>
      <c r="E281" s="69" t="s">
        <v>382</v>
      </c>
      <c r="F281" s="26">
        <v>1</v>
      </c>
      <c r="G281" s="28">
        <v>1120</v>
      </c>
      <c r="H281" s="29" t="str">
        <f>IF(AND(Q281&lt;3600,Q281&gt;0),"nhỏ",IF(AND(Q281&gt;=3600,Q281&lt;72000),"vừa",IF(Q281&lt;&gt;0,"lớn",0)))</f>
        <v>nhỏ</v>
      </c>
      <c r="I281" s="28">
        <v>60</v>
      </c>
      <c r="J281" s="43">
        <v>80</v>
      </c>
      <c r="K281" s="69"/>
      <c r="L281" s="72"/>
      <c r="M281" s="72"/>
      <c r="N281" s="72"/>
      <c r="O281" s="72"/>
      <c r="P281" s="72"/>
      <c r="Q281" s="72">
        <f>F281*G281</f>
        <v>1120</v>
      </c>
      <c r="R281" s="72"/>
      <c r="S281" s="72"/>
    </row>
    <row r="282" spans="1:19" s="73" customFormat="1" x14ac:dyDescent="0.25">
      <c r="A282" s="1">
        <f ca="1">IF(B282&gt;0,SUM(MAX($A$10:A281),1),0)</f>
        <v>178</v>
      </c>
      <c r="B282" s="202">
        <v>11</v>
      </c>
      <c r="C282" s="204" t="s">
        <v>437</v>
      </c>
      <c r="D282" s="202" t="s">
        <v>407</v>
      </c>
      <c r="E282" s="228" t="s">
        <v>382</v>
      </c>
      <c r="F282" s="26">
        <v>1</v>
      </c>
      <c r="G282" s="28">
        <v>980</v>
      </c>
      <c r="H282" s="208" t="str">
        <f>IF(AND(Q282&lt;3600,Q282&gt;0),"nhỏ",IF(AND(Q282&gt;=3600,Q282&lt;72000),"vừa",IF(Q282&lt;&gt;0,"lớn",0)))</f>
        <v>nhỏ</v>
      </c>
      <c r="I282" s="212">
        <v>227</v>
      </c>
      <c r="J282" s="226">
        <v>60</v>
      </c>
      <c r="K282" s="69"/>
      <c r="L282" s="72"/>
      <c r="M282" s="72"/>
      <c r="N282" s="72"/>
      <c r="O282" s="72"/>
      <c r="P282" s="72"/>
      <c r="Q282" s="72">
        <f>F282*G282+F283*G283</f>
        <v>2100</v>
      </c>
      <c r="R282" s="72"/>
      <c r="S282" s="72"/>
    </row>
    <row r="283" spans="1:19" s="73" customFormat="1" x14ac:dyDescent="0.25">
      <c r="A283" s="1">
        <f>IF(B283&gt;0,SUM(MAX($A$10:A282),1),0)</f>
        <v>0</v>
      </c>
      <c r="B283" s="203"/>
      <c r="C283" s="205"/>
      <c r="D283" s="203"/>
      <c r="E283" s="229"/>
      <c r="F283" s="26">
        <v>1</v>
      </c>
      <c r="G283" s="28">
        <v>1120</v>
      </c>
      <c r="H283" s="209"/>
      <c r="I283" s="213"/>
      <c r="J283" s="227"/>
      <c r="K283" s="69"/>
      <c r="L283" s="72"/>
      <c r="M283" s="72"/>
      <c r="N283" s="72"/>
      <c r="O283" s="72"/>
      <c r="P283" s="72"/>
      <c r="Q283" s="72"/>
      <c r="R283" s="72"/>
      <c r="S283" s="72"/>
    </row>
    <row r="284" spans="1:19" s="73" customFormat="1" x14ac:dyDescent="0.25">
      <c r="A284" s="1">
        <f ca="1">IF(B284&gt;0,SUM(MAX($A$10:A299),1),0)</f>
        <v>182</v>
      </c>
      <c r="B284" s="202">
        <v>12</v>
      </c>
      <c r="C284" s="204" t="s">
        <v>441</v>
      </c>
      <c r="D284" s="202" t="s">
        <v>421</v>
      </c>
      <c r="E284" s="228" t="s">
        <v>382</v>
      </c>
      <c r="F284" s="26">
        <v>1</v>
      </c>
      <c r="G284" s="28">
        <v>980</v>
      </c>
      <c r="H284" s="208" t="str">
        <f>IF(AND(Q284&lt;3600,Q284&gt;0),"nhỏ",IF(AND(Q284&gt;=3600,Q284&lt;72000),"vừa",IF(Q284&lt;&gt;0,"lớn",0)))</f>
        <v>nhỏ</v>
      </c>
      <c r="I284" s="212">
        <v>77</v>
      </c>
      <c r="J284" s="226">
        <v>117</v>
      </c>
      <c r="K284" s="69"/>
      <c r="L284" s="72"/>
      <c r="M284" s="72"/>
      <c r="N284" s="72"/>
      <c r="O284" s="72"/>
      <c r="P284" s="72"/>
      <c r="Q284" s="72">
        <f>F284*G284+F285*G285</f>
        <v>1880</v>
      </c>
      <c r="R284" s="72"/>
      <c r="S284" s="72"/>
    </row>
    <row r="285" spans="1:19" s="76" customFormat="1" x14ac:dyDescent="0.25">
      <c r="A285" s="1">
        <f>IF(B285&gt;0,SUM(MAX($A$10:A284),1),0)</f>
        <v>0</v>
      </c>
      <c r="B285" s="203"/>
      <c r="C285" s="205"/>
      <c r="D285" s="203"/>
      <c r="E285" s="229"/>
      <c r="F285" s="26">
        <v>1</v>
      </c>
      <c r="G285" s="28">
        <v>900</v>
      </c>
      <c r="H285" s="209"/>
      <c r="I285" s="213"/>
      <c r="J285" s="227"/>
      <c r="K285" s="64"/>
      <c r="L285" s="75"/>
      <c r="M285" s="75"/>
      <c r="N285" s="75"/>
      <c r="O285" s="75"/>
      <c r="P285" s="75"/>
      <c r="Q285" s="72"/>
      <c r="R285" s="75"/>
      <c r="S285" s="75"/>
    </row>
    <row r="286" spans="1:19" s="73" customFormat="1" x14ac:dyDescent="0.25">
      <c r="A286" s="1">
        <f ca="1">IF(B286&gt;0,SUM(MAX($A$10:A285),1),0)</f>
        <v>183</v>
      </c>
      <c r="B286" s="26">
        <v>13</v>
      </c>
      <c r="C286" s="27" t="s">
        <v>442</v>
      </c>
      <c r="D286" s="26" t="s">
        <v>421</v>
      </c>
      <c r="E286" s="69" t="s">
        <v>382</v>
      </c>
      <c r="F286" s="26">
        <v>2</v>
      </c>
      <c r="G286" s="28">
        <v>980</v>
      </c>
      <c r="H286" s="29" t="str">
        <f>IF(AND(Q286&lt;3600,Q286&gt;0),"nhỏ",IF(AND(Q286&gt;=3600,Q286&lt;72000),"vừa",IF(Q286&lt;&gt;0,"lớn",0)))</f>
        <v>nhỏ</v>
      </c>
      <c r="I286" s="29"/>
      <c r="J286" s="29"/>
      <c r="K286" s="69"/>
      <c r="L286" s="72"/>
      <c r="M286" s="72"/>
      <c r="N286" s="72"/>
      <c r="O286" s="72"/>
      <c r="P286" s="72"/>
      <c r="Q286" s="72">
        <f>F286*G286</f>
        <v>1960</v>
      </c>
      <c r="R286" s="72"/>
      <c r="S286" s="72"/>
    </row>
    <row r="287" spans="1:19" s="73" customFormat="1" ht="16.5" customHeight="1" x14ac:dyDescent="0.25">
      <c r="A287" s="1">
        <f ca="1">IF(B287&gt;0,SUM(MAX($A$10:A299),1),0)</f>
        <v>184</v>
      </c>
      <c r="B287" s="202">
        <v>14</v>
      </c>
      <c r="C287" s="204" t="s">
        <v>504</v>
      </c>
      <c r="D287" s="202" t="s">
        <v>381</v>
      </c>
      <c r="E287" s="228" t="s">
        <v>403</v>
      </c>
      <c r="F287" s="26">
        <v>1</v>
      </c>
      <c r="G287" s="28">
        <v>980</v>
      </c>
      <c r="H287" s="208" t="str">
        <f>IF(AND(Q287&lt;3600,Q287&gt;0),"nhỏ",IF(AND(Q287&gt;=3600,Q287&lt;72000),"vừa",IF(Q287&lt;&gt;0,"lớn",0)))</f>
        <v>nhỏ</v>
      </c>
      <c r="I287" s="212">
        <v>55</v>
      </c>
      <c r="J287" s="208"/>
      <c r="K287" s="69"/>
      <c r="L287" s="72"/>
      <c r="M287" s="72"/>
      <c r="N287" s="72"/>
      <c r="O287" s="72"/>
      <c r="P287" s="72"/>
      <c r="Q287" s="72">
        <f>F287*G287+F289*G289</f>
        <v>2100</v>
      </c>
      <c r="R287" s="72"/>
      <c r="S287" s="72"/>
    </row>
    <row r="288" spans="1:19" s="73" customFormat="1" x14ac:dyDescent="0.25">
      <c r="A288" s="1"/>
      <c r="B288" s="210"/>
      <c r="C288" s="205"/>
      <c r="D288" s="210"/>
      <c r="E288" s="230"/>
      <c r="F288" s="26">
        <v>1</v>
      </c>
      <c r="G288" s="28">
        <v>1120</v>
      </c>
      <c r="H288" s="211"/>
      <c r="I288" s="218"/>
      <c r="J288" s="211"/>
      <c r="K288" s="69"/>
      <c r="L288" s="72"/>
      <c r="M288" s="72"/>
      <c r="N288" s="72"/>
      <c r="O288" s="72"/>
      <c r="P288" s="72"/>
      <c r="Q288" s="72"/>
      <c r="R288" s="72"/>
      <c r="S288" s="72"/>
    </row>
    <row r="289" spans="1:206" s="73" customFormat="1" x14ac:dyDescent="0.25">
      <c r="A289" s="1">
        <f>IF(B289&gt;0,SUM(MAX($A$10:A287),1),0)</f>
        <v>0</v>
      </c>
      <c r="B289" s="203"/>
      <c r="C289" s="45" t="s">
        <v>505</v>
      </c>
      <c r="D289" s="203"/>
      <c r="E289" s="229"/>
      <c r="F289" s="26">
        <v>1</v>
      </c>
      <c r="G289" s="28">
        <v>1120</v>
      </c>
      <c r="H289" s="209"/>
      <c r="I289" s="213"/>
      <c r="J289" s="209"/>
      <c r="K289" s="69"/>
      <c r="L289" s="72"/>
      <c r="M289" s="72"/>
      <c r="N289" s="72"/>
      <c r="O289" s="72"/>
      <c r="P289" s="72"/>
      <c r="Q289" s="72"/>
      <c r="R289" s="72"/>
      <c r="S289" s="72"/>
    </row>
    <row r="290" spans="1:206" s="73" customFormat="1" x14ac:dyDescent="0.25">
      <c r="A290" s="1">
        <f ca="1">IF(B290&gt;0,SUM(MAX($A$10:A276),1),0)</f>
        <v>169</v>
      </c>
      <c r="B290" s="26">
        <v>15</v>
      </c>
      <c r="C290" s="27" t="s">
        <v>424</v>
      </c>
      <c r="D290" s="26" t="s">
        <v>425</v>
      </c>
      <c r="E290" s="69" t="s">
        <v>389</v>
      </c>
      <c r="F290" s="26">
        <v>4</v>
      </c>
      <c r="G290" s="28">
        <v>980</v>
      </c>
      <c r="H290" s="29" t="str">
        <f t="shared" si="27"/>
        <v>vừa</v>
      </c>
      <c r="I290" s="28">
        <v>185</v>
      </c>
      <c r="J290" s="43">
        <v>320</v>
      </c>
      <c r="K290" s="69"/>
      <c r="L290" s="72"/>
      <c r="M290" s="72"/>
      <c r="N290" s="72"/>
      <c r="O290" s="72"/>
      <c r="P290" s="72"/>
      <c r="Q290" s="72">
        <f t="shared" si="28"/>
        <v>3920</v>
      </c>
      <c r="R290" s="72"/>
      <c r="S290" s="72"/>
    </row>
    <row r="291" spans="1:206" s="73" customFormat="1" x14ac:dyDescent="0.25">
      <c r="A291" s="1">
        <f ca="1">IF(B291&gt;0,SUM(MAX($A$10:A299),1),0)</f>
        <v>181</v>
      </c>
      <c r="B291" s="26">
        <v>16</v>
      </c>
      <c r="C291" s="27" t="s">
        <v>440</v>
      </c>
      <c r="D291" s="26" t="s">
        <v>407</v>
      </c>
      <c r="E291" s="69" t="s">
        <v>389</v>
      </c>
      <c r="F291" s="26">
        <v>1</v>
      </c>
      <c r="G291" s="28">
        <v>1120</v>
      </c>
      <c r="H291" s="29" t="str">
        <f>IF(AND(Q291&lt;3600,Q291&gt;0),"nhỏ",IF(AND(Q291&gt;=3600,Q291&lt;72000),"vừa",IF(Q291&lt;&gt;0,"lớn",0)))</f>
        <v>nhỏ</v>
      </c>
      <c r="I291" s="28">
        <v>67</v>
      </c>
      <c r="J291" s="43">
        <v>77</v>
      </c>
      <c r="K291" s="69"/>
      <c r="L291" s="72"/>
      <c r="M291" s="72"/>
      <c r="N291" s="72"/>
      <c r="O291" s="72"/>
      <c r="P291" s="72"/>
      <c r="Q291" s="72">
        <f>F291*G291</f>
        <v>1120</v>
      </c>
      <c r="R291" s="72"/>
      <c r="S291" s="72"/>
    </row>
    <row r="292" spans="1:206" s="73" customFormat="1" x14ac:dyDescent="0.25">
      <c r="A292" s="1">
        <f ca="1">IF(B292&gt;0,SUM(MAX($A$10:A290),1),0)</f>
        <v>170</v>
      </c>
      <c r="B292" s="26">
        <v>17</v>
      </c>
      <c r="C292" s="27" t="s">
        <v>426</v>
      </c>
      <c r="D292" s="26" t="s">
        <v>426</v>
      </c>
      <c r="E292" s="69" t="s">
        <v>427</v>
      </c>
      <c r="F292" s="26">
        <v>3</v>
      </c>
      <c r="G292" s="28">
        <v>2500</v>
      </c>
      <c r="H292" s="29" t="str">
        <f t="shared" si="27"/>
        <v>vừa</v>
      </c>
      <c r="I292" s="28">
        <v>450</v>
      </c>
      <c r="J292" s="43">
        <v>450</v>
      </c>
      <c r="K292" s="69"/>
      <c r="L292" s="72"/>
      <c r="M292" s="72"/>
      <c r="N292" s="72"/>
      <c r="O292" s="72"/>
      <c r="P292" s="72"/>
      <c r="Q292" s="72">
        <f t="shared" si="28"/>
        <v>7500</v>
      </c>
      <c r="R292" s="72"/>
      <c r="S292" s="72"/>
    </row>
    <row r="293" spans="1:206" s="73" customFormat="1" ht="14.25" customHeight="1" x14ac:dyDescent="0.25">
      <c r="A293" s="1">
        <f ca="1">IF(B293&gt;0,SUM(MAX($A$10:A292),1),0)</f>
        <v>171</v>
      </c>
      <c r="B293" s="202">
        <v>18</v>
      </c>
      <c r="C293" s="204" t="s">
        <v>428</v>
      </c>
      <c r="D293" s="202" t="s">
        <v>428</v>
      </c>
      <c r="E293" s="228" t="s">
        <v>429</v>
      </c>
      <c r="F293" s="26">
        <v>5</v>
      </c>
      <c r="G293" s="28">
        <v>1120</v>
      </c>
      <c r="H293" s="208" t="str">
        <f t="shared" si="27"/>
        <v>vừa</v>
      </c>
      <c r="I293" s="212">
        <v>230</v>
      </c>
      <c r="J293" s="226">
        <v>425</v>
      </c>
      <c r="K293" s="228"/>
      <c r="L293" s="72"/>
      <c r="M293" s="72"/>
      <c r="N293" s="72"/>
      <c r="O293" s="72"/>
      <c r="P293" s="72"/>
      <c r="Q293" s="72">
        <f>F293*G293+F294*G294+F295*G295</f>
        <v>11720</v>
      </c>
      <c r="R293" s="72"/>
      <c r="S293" s="72"/>
    </row>
    <row r="294" spans="1:206" s="73" customFormat="1" ht="16.5" customHeight="1" x14ac:dyDescent="0.25">
      <c r="A294" s="1">
        <f>IF(B294&gt;0,SUM(MAX($A$10:A293),1),0)</f>
        <v>0</v>
      </c>
      <c r="B294" s="210"/>
      <c r="C294" s="205"/>
      <c r="D294" s="203"/>
      <c r="E294" s="229"/>
      <c r="F294" s="26">
        <v>2</v>
      </c>
      <c r="G294" s="28">
        <v>2500</v>
      </c>
      <c r="H294" s="209"/>
      <c r="I294" s="213"/>
      <c r="J294" s="227"/>
      <c r="K294" s="230"/>
      <c r="L294" s="72"/>
      <c r="M294" s="72"/>
      <c r="N294" s="72"/>
      <c r="O294" s="72"/>
      <c r="P294" s="72"/>
      <c r="Q294" s="72"/>
      <c r="R294" s="72"/>
      <c r="S294" s="72"/>
    </row>
    <row r="295" spans="1:206" s="73" customFormat="1" x14ac:dyDescent="0.25">
      <c r="A295" s="1">
        <f>IF(B295&gt;0,SUM(MAX($A$10:A294),1),0)</f>
        <v>0</v>
      </c>
      <c r="B295" s="203"/>
      <c r="C295" s="27" t="s">
        <v>430</v>
      </c>
      <c r="D295" s="26" t="s">
        <v>391</v>
      </c>
      <c r="E295" s="69" t="s">
        <v>431</v>
      </c>
      <c r="F295" s="26">
        <v>1</v>
      </c>
      <c r="G295" s="28">
        <v>1120</v>
      </c>
      <c r="H295" s="80"/>
      <c r="I295" s="80"/>
      <c r="J295" s="80"/>
      <c r="K295" s="229"/>
      <c r="L295" s="72"/>
      <c r="M295" s="72"/>
      <c r="N295" s="72"/>
      <c r="O295" s="72"/>
      <c r="P295" s="72"/>
      <c r="Q295" s="72"/>
      <c r="R295" s="72"/>
      <c r="S295" s="72"/>
    </row>
    <row r="296" spans="1:206" s="73" customFormat="1" x14ac:dyDescent="0.25">
      <c r="A296" s="1">
        <f ca="1">IF(B296&gt;0,SUM(MAX($A$10:A295),1),0)</f>
        <v>172</v>
      </c>
      <c r="B296" s="26">
        <v>19</v>
      </c>
      <c r="C296" s="27" t="s">
        <v>391</v>
      </c>
      <c r="D296" s="26" t="s">
        <v>391</v>
      </c>
      <c r="E296" s="69" t="s">
        <v>392</v>
      </c>
      <c r="F296" s="26">
        <v>4</v>
      </c>
      <c r="G296" s="28">
        <v>980</v>
      </c>
      <c r="H296" s="29" t="str">
        <f t="shared" ref="H296:H299" si="29">IF(AND(Q296&lt;3600,Q296&gt;0),"nhỏ",IF(AND(Q296&gt;=3600,Q296&lt;72000),"vừa",IF(Q296&lt;&gt;0,"lớn",0)))</f>
        <v>vừa</v>
      </c>
      <c r="I296" s="28">
        <v>280</v>
      </c>
      <c r="J296" s="43">
        <v>350</v>
      </c>
      <c r="K296" s="69"/>
      <c r="L296" s="72"/>
      <c r="M296" s="72"/>
      <c r="N296" s="72"/>
      <c r="O296" s="72"/>
      <c r="P296" s="72"/>
      <c r="Q296" s="72">
        <f>F296*G296</f>
        <v>3920</v>
      </c>
      <c r="R296" s="72"/>
      <c r="S296" s="72"/>
    </row>
    <row r="297" spans="1:206" s="73" customFormat="1" x14ac:dyDescent="0.25">
      <c r="A297" s="1">
        <f ca="1">IF(B297&gt;0,SUM(MAX($A$10:A296),1),0)</f>
        <v>174</v>
      </c>
      <c r="B297" s="26">
        <v>20</v>
      </c>
      <c r="C297" s="27" t="s">
        <v>433</v>
      </c>
      <c r="D297" s="26" t="s">
        <v>433</v>
      </c>
      <c r="E297" s="69" t="s">
        <v>355</v>
      </c>
      <c r="F297" s="26">
        <v>2</v>
      </c>
      <c r="G297" s="28">
        <v>980</v>
      </c>
      <c r="H297" s="29" t="str">
        <f t="shared" si="29"/>
        <v>nhỏ</v>
      </c>
      <c r="I297" s="28">
        <v>280</v>
      </c>
      <c r="J297" s="43">
        <f>+I297</f>
        <v>280</v>
      </c>
      <c r="K297" s="69"/>
      <c r="L297" s="72"/>
      <c r="M297" s="72"/>
      <c r="N297" s="72"/>
      <c r="O297" s="72"/>
      <c r="P297" s="72"/>
      <c r="Q297" s="72">
        <f>F297*G297</f>
        <v>1960</v>
      </c>
      <c r="R297" s="72"/>
      <c r="S297" s="72"/>
    </row>
    <row r="298" spans="1:206" s="73" customFormat="1" x14ac:dyDescent="0.25">
      <c r="A298" s="1">
        <f ca="1">IF(B298&gt;0,SUM(MAX($A$10:A297),1),0)</f>
        <v>179</v>
      </c>
      <c r="B298" s="26">
        <v>21</v>
      </c>
      <c r="C298" s="27" t="s">
        <v>438</v>
      </c>
      <c r="D298" s="26" t="s">
        <v>407</v>
      </c>
      <c r="E298" s="69" t="s">
        <v>202</v>
      </c>
      <c r="F298" s="26">
        <v>1</v>
      </c>
      <c r="G298" s="28">
        <v>900</v>
      </c>
      <c r="H298" s="29" t="str">
        <f t="shared" si="29"/>
        <v>nhỏ</v>
      </c>
      <c r="I298" s="28">
        <v>21</v>
      </c>
      <c r="J298" s="43">
        <v>21</v>
      </c>
      <c r="K298" s="69"/>
      <c r="L298" s="72"/>
      <c r="M298" s="72"/>
      <c r="N298" s="72"/>
      <c r="O298" s="72"/>
      <c r="P298" s="72"/>
      <c r="Q298" s="72">
        <f>F298*G298</f>
        <v>900</v>
      </c>
      <c r="R298" s="72"/>
      <c r="S298" s="72"/>
    </row>
    <row r="299" spans="1:206" s="73" customFormat="1" x14ac:dyDescent="0.25">
      <c r="A299" s="1">
        <f ca="1">IF(B299&gt;0,SUM(MAX($A$10:A298),1),0)</f>
        <v>180</v>
      </c>
      <c r="B299" s="26">
        <v>22</v>
      </c>
      <c r="C299" s="27" t="s">
        <v>439</v>
      </c>
      <c r="D299" s="26" t="s">
        <v>407</v>
      </c>
      <c r="E299" s="69" t="s">
        <v>202</v>
      </c>
      <c r="F299" s="26">
        <v>2</v>
      </c>
      <c r="G299" s="28">
        <v>1400</v>
      </c>
      <c r="H299" s="29" t="str">
        <f t="shared" si="29"/>
        <v>nhỏ</v>
      </c>
      <c r="I299" s="28">
        <v>157</v>
      </c>
      <c r="J299" s="43">
        <v>63</v>
      </c>
      <c r="K299" s="69"/>
      <c r="L299" s="72"/>
      <c r="M299" s="72"/>
      <c r="N299" s="72"/>
      <c r="O299" s="72"/>
      <c r="P299" s="72"/>
      <c r="Q299" s="72">
        <f>F299*G299</f>
        <v>2800</v>
      </c>
      <c r="R299" s="72"/>
      <c r="S299" s="72"/>
    </row>
    <row r="300" spans="1:206" s="82" customFormat="1" ht="24" customHeight="1" x14ac:dyDescent="0.25">
      <c r="A300" s="1"/>
      <c r="B300" s="22" t="s">
        <v>444</v>
      </c>
      <c r="C300" s="20" t="s">
        <v>445</v>
      </c>
      <c r="D300" s="22" t="str">
        <f>CONCATENATE(COUNT(B300:B310)," trạm")</f>
        <v>5 trạm</v>
      </c>
      <c r="E300" s="22"/>
      <c r="F300" s="81">
        <f>SUM(F301,F307)</f>
        <v>38</v>
      </c>
      <c r="G300" s="31"/>
      <c r="H300" s="49"/>
      <c r="I300" s="49"/>
      <c r="J300" s="49"/>
      <c r="K300" s="50"/>
      <c r="L300" s="51">
        <f>+L301+L307</f>
        <v>0</v>
      </c>
      <c r="M300" s="51">
        <f>+M301+M307</f>
        <v>5</v>
      </c>
      <c r="N300" s="51">
        <f>+N301+N307</f>
        <v>0</v>
      </c>
      <c r="O300" s="52"/>
      <c r="P300" s="52"/>
      <c r="Q300" s="51">
        <f>Q301+Q307</f>
        <v>96590</v>
      </c>
      <c r="R300" s="52"/>
      <c r="S300" s="52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  <c r="CG300" s="53"/>
      <c r="CH300" s="53"/>
      <c r="CI300" s="53"/>
      <c r="CJ300" s="53"/>
      <c r="CK300" s="53"/>
      <c r="CL300" s="53"/>
      <c r="CM300" s="53"/>
      <c r="CN300" s="53"/>
      <c r="CO300" s="53"/>
      <c r="CP300" s="53"/>
      <c r="CQ300" s="53"/>
      <c r="CR300" s="53"/>
      <c r="CS300" s="53"/>
      <c r="CT300" s="53"/>
      <c r="CU300" s="53"/>
      <c r="CV300" s="53"/>
      <c r="CW300" s="53"/>
      <c r="CX300" s="53"/>
      <c r="CY300" s="53"/>
      <c r="CZ300" s="53"/>
      <c r="DA300" s="53"/>
      <c r="DB300" s="53"/>
      <c r="DC300" s="53"/>
      <c r="DD300" s="53"/>
      <c r="DE300" s="53"/>
      <c r="DF300" s="53"/>
      <c r="DG300" s="53"/>
      <c r="DH300" s="53"/>
      <c r="DI300" s="53"/>
      <c r="DJ300" s="53"/>
      <c r="DK300" s="53"/>
      <c r="DL300" s="53"/>
      <c r="DM300" s="53"/>
      <c r="DN300" s="53"/>
      <c r="DO300" s="53"/>
      <c r="DP300" s="53"/>
      <c r="DQ300" s="53"/>
      <c r="DR300" s="53"/>
      <c r="DS300" s="53"/>
      <c r="DT300" s="53"/>
      <c r="DU300" s="53"/>
      <c r="DV300" s="53"/>
      <c r="DW300" s="53"/>
      <c r="DX300" s="53"/>
      <c r="DY300" s="53"/>
      <c r="DZ300" s="53"/>
      <c r="EA300" s="53"/>
      <c r="EB300" s="53"/>
      <c r="EC300" s="53"/>
      <c r="ED300" s="53"/>
      <c r="EE300" s="53"/>
      <c r="EF300" s="53"/>
      <c r="EG300" s="53"/>
      <c r="EH300" s="53"/>
      <c r="EI300" s="53"/>
      <c r="EJ300" s="53"/>
      <c r="EK300" s="53"/>
      <c r="EL300" s="53"/>
      <c r="EM300" s="53"/>
      <c r="EN300" s="53"/>
      <c r="EO300" s="53"/>
      <c r="EP300" s="53"/>
      <c r="EQ300" s="53"/>
      <c r="ER300" s="53"/>
      <c r="ES300" s="53"/>
      <c r="ET300" s="53"/>
      <c r="EU300" s="53"/>
      <c r="EV300" s="53"/>
      <c r="EW300" s="53"/>
      <c r="EX300" s="53"/>
      <c r="EY300" s="53"/>
      <c r="EZ300" s="53"/>
      <c r="FA300" s="53"/>
      <c r="FB300" s="53"/>
      <c r="FC300" s="53"/>
      <c r="FD300" s="53"/>
      <c r="FE300" s="53"/>
      <c r="FF300" s="53"/>
      <c r="FG300" s="53"/>
      <c r="FH300" s="53"/>
      <c r="FI300" s="53"/>
      <c r="FJ300" s="53"/>
      <c r="FK300" s="53"/>
      <c r="FL300" s="53"/>
      <c r="FM300" s="53"/>
      <c r="FN300" s="53"/>
      <c r="FO300" s="53"/>
      <c r="FP300" s="53"/>
      <c r="FQ300" s="53"/>
      <c r="FR300" s="53"/>
      <c r="FS300" s="53"/>
      <c r="FT300" s="53"/>
      <c r="FU300" s="53"/>
      <c r="FV300" s="53"/>
      <c r="FW300" s="53"/>
      <c r="FX300" s="53"/>
      <c r="FY300" s="53"/>
      <c r="FZ300" s="53"/>
      <c r="GA300" s="53"/>
      <c r="GB300" s="53"/>
      <c r="GC300" s="53"/>
      <c r="GD300" s="53"/>
      <c r="GE300" s="53"/>
      <c r="GF300" s="53"/>
      <c r="GG300" s="53"/>
      <c r="GH300" s="53"/>
      <c r="GI300" s="53"/>
      <c r="GJ300" s="53"/>
      <c r="GK300" s="53"/>
      <c r="GL300" s="53"/>
      <c r="GM300" s="53"/>
      <c r="GN300" s="53"/>
      <c r="GO300" s="53"/>
      <c r="GP300" s="53"/>
      <c r="GQ300" s="53"/>
      <c r="GR300" s="53"/>
      <c r="GS300" s="53"/>
      <c r="GT300" s="53"/>
      <c r="GU300" s="53"/>
      <c r="GV300" s="53"/>
      <c r="GW300" s="53"/>
      <c r="GX300" s="53"/>
    </row>
    <row r="301" spans="1:206" s="83" customFormat="1" x14ac:dyDescent="0.25">
      <c r="A301" s="1">
        <f>IF(B301&gt;0,SUM(MAX($A$10:A300),1),0)</f>
        <v>0</v>
      </c>
      <c r="B301" s="22"/>
      <c r="C301" s="20" t="s">
        <v>446</v>
      </c>
      <c r="D301" s="22" t="str">
        <f>CONCATENATE(COUNT(B301:B307)," trạm")</f>
        <v>3 trạm</v>
      </c>
      <c r="E301" s="22"/>
      <c r="F301" s="81">
        <f>SUM(F302:F306)</f>
        <v>28</v>
      </c>
      <c r="G301" s="31"/>
      <c r="H301" s="49"/>
      <c r="I301" s="49"/>
      <c r="J301" s="49"/>
      <c r="K301" s="50"/>
      <c r="L301" s="25">
        <f>COUNTIF(H302:H306,"lớn")</f>
        <v>0</v>
      </c>
      <c r="M301" s="25">
        <f>COUNTIF(H302:H306,"vừa")</f>
        <v>3</v>
      </c>
      <c r="N301" s="25">
        <f>COUNTIF(H302:H306,"nhỏ")</f>
        <v>0</v>
      </c>
      <c r="O301" s="52"/>
      <c r="P301" s="52"/>
      <c r="Q301" s="51">
        <f>SUM(Q302:Q306)</f>
        <v>35800</v>
      </c>
      <c r="R301" s="52"/>
      <c r="S301" s="52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  <c r="CG301" s="53"/>
      <c r="CH301" s="53"/>
      <c r="CI301" s="53"/>
      <c r="CJ301" s="53"/>
      <c r="CK301" s="53"/>
      <c r="CL301" s="53"/>
      <c r="CM301" s="53"/>
      <c r="CN301" s="53"/>
      <c r="CO301" s="53"/>
      <c r="CP301" s="53"/>
      <c r="CQ301" s="53"/>
      <c r="CR301" s="53"/>
      <c r="CS301" s="53"/>
      <c r="CT301" s="53"/>
      <c r="CU301" s="53"/>
      <c r="CV301" s="53"/>
      <c r="CW301" s="53"/>
      <c r="CX301" s="53"/>
      <c r="CY301" s="53"/>
      <c r="CZ301" s="53"/>
      <c r="DA301" s="53"/>
      <c r="DB301" s="53"/>
      <c r="DC301" s="53"/>
      <c r="DD301" s="53"/>
      <c r="DE301" s="53"/>
      <c r="DF301" s="53"/>
      <c r="DG301" s="53"/>
      <c r="DH301" s="53"/>
      <c r="DI301" s="53"/>
      <c r="DJ301" s="53"/>
      <c r="DK301" s="53"/>
      <c r="DL301" s="53"/>
      <c r="DM301" s="53"/>
      <c r="DN301" s="53"/>
      <c r="DO301" s="53"/>
      <c r="DP301" s="53"/>
      <c r="DQ301" s="53"/>
      <c r="DR301" s="53"/>
      <c r="DS301" s="53"/>
      <c r="DT301" s="53"/>
      <c r="DU301" s="53"/>
      <c r="DV301" s="53"/>
      <c r="DW301" s="53"/>
      <c r="DX301" s="53"/>
      <c r="DY301" s="53"/>
      <c r="DZ301" s="53"/>
      <c r="EA301" s="53"/>
      <c r="EB301" s="53"/>
      <c r="EC301" s="53"/>
      <c r="ED301" s="53"/>
      <c r="EE301" s="53"/>
      <c r="EF301" s="53"/>
      <c r="EG301" s="53"/>
      <c r="EH301" s="53"/>
      <c r="EI301" s="53"/>
      <c r="EJ301" s="53"/>
      <c r="EK301" s="53"/>
      <c r="EL301" s="53"/>
      <c r="EM301" s="53"/>
      <c r="EN301" s="53"/>
      <c r="EO301" s="53"/>
      <c r="EP301" s="53"/>
      <c r="EQ301" s="53"/>
      <c r="ER301" s="53"/>
      <c r="ES301" s="53"/>
      <c r="ET301" s="53"/>
      <c r="EU301" s="53"/>
      <c r="EV301" s="53"/>
      <c r="EW301" s="53"/>
      <c r="EX301" s="53"/>
      <c r="EY301" s="53"/>
      <c r="EZ301" s="53"/>
      <c r="FA301" s="53"/>
      <c r="FB301" s="53"/>
      <c r="FC301" s="53"/>
      <c r="FD301" s="53"/>
      <c r="FE301" s="53"/>
      <c r="FF301" s="53"/>
      <c r="FG301" s="53"/>
      <c r="FH301" s="53"/>
      <c r="FI301" s="53"/>
      <c r="FJ301" s="53"/>
      <c r="FK301" s="53"/>
      <c r="FL301" s="53"/>
      <c r="FM301" s="53"/>
      <c r="FN301" s="53"/>
      <c r="FO301" s="53"/>
      <c r="FP301" s="53"/>
      <c r="FQ301" s="53"/>
      <c r="FR301" s="53"/>
      <c r="FS301" s="53"/>
      <c r="FT301" s="53"/>
      <c r="FU301" s="53"/>
      <c r="FV301" s="53"/>
      <c r="FW301" s="53"/>
      <c r="FX301" s="53"/>
      <c r="FY301" s="53"/>
      <c r="FZ301" s="53"/>
      <c r="GA301" s="53"/>
      <c r="GB301" s="53"/>
      <c r="GC301" s="53"/>
      <c r="GD301" s="53"/>
      <c r="GE301" s="53"/>
      <c r="GF301" s="53"/>
      <c r="GG301" s="53"/>
      <c r="GH301" s="53"/>
      <c r="GI301" s="53"/>
      <c r="GJ301" s="53"/>
      <c r="GK301" s="53"/>
      <c r="GL301" s="53"/>
      <c r="GM301" s="53"/>
      <c r="GN301" s="53"/>
      <c r="GO301" s="53"/>
      <c r="GP301" s="53"/>
      <c r="GQ301" s="53"/>
      <c r="GR301" s="53"/>
      <c r="GS301" s="53"/>
      <c r="GT301" s="53"/>
      <c r="GU301" s="53"/>
      <c r="GV301" s="53"/>
      <c r="GW301" s="53"/>
      <c r="GX301" s="53"/>
    </row>
    <row r="302" spans="1:206" s="86" customFormat="1" ht="18.75" customHeight="1" x14ac:dyDescent="0.25">
      <c r="A302" s="1">
        <f ca="1">IF(B302&gt;0,SUM(MAX($A$10:A301),1),0)</f>
        <v>185</v>
      </c>
      <c r="B302" s="233">
        <v>1</v>
      </c>
      <c r="C302" s="84" t="s">
        <v>447</v>
      </c>
      <c r="D302" s="233" t="s">
        <v>448</v>
      </c>
      <c r="E302" s="206" t="s">
        <v>26</v>
      </c>
      <c r="F302" s="85">
        <v>4</v>
      </c>
      <c r="G302" s="85">
        <v>3000</v>
      </c>
      <c r="H302" s="208" t="str">
        <f>IF(AND(Q302&lt;3600,Q302&gt;0),"nhỏ",IF(AND(Q302&gt;=3600,Q302&lt;72000),"vừa",IF(Q302&lt;&gt;0,"lớn",0)))</f>
        <v>vừa</v>
      </c>
      <c r="I302" s="28">
        <v>37</v>
      </c>
      <c r="J302" s="29"/>
      <c r="K302" s="31" t="s">
        <v>449</v>
      </c>
      <c r="L302" s="55"/>
      <c r="M302" s="56"/>
      <c r="N302" s="56"/>
      <c r="O302" s="56"/>
      <c r="P302" s="56"/>
      <c r="Q302" s="55">
        <f>F302*G302+F303*G303+F304*G304</f>
        <v>22080</v>
      </c>
      <c r="R302" s="56"/>
      <c r="S302" s="56"/>
      <c r="T302" s="57"/>
      <c r="U302" s="101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7"/>
      <c r="DL302" s="57"/>
      <c r="DM302" s="57"/>
      <c r="DN302" s="57"/>
      <c r="DO302" s="57"/>
      <c r="DP302" s="57"/>
      <c r="DQ302" s="57"/>
      <c r="DR302" s="57"/>
      <c r="DS302" s="57"/>
      <c r="DT302" s="57"/>
      <c r="DU302" s="57"/>
      <c r="DV302" s="57"/>
      <c r="DW302" s="57"/>
      <c r="DX302" s="57"/>
      <c r="DY302" s="57"/>
      <c r="DZ302" s="57"/>
      <c r="EA302" s="57"/>
      <c r="EB302" s="57"/>
      <c r="EC302" s="57"/>
      <c r="ED302" s="57"/>
      <c r="EE302" s="57"/>
      <c r="EF302" s="57"/>
      <c r="EG302" s="57"/>
      <c r="EH302" s="57"/>
      <c r="EI302" s="57"/>
      <c r="EJ302" s="57"/>
      <c r="EK302" s="57"/>
      <c r="EL302" s="57"/>
      <c r="EM302" s="57"/>
      <c r="EN302" s="57"/>
      <c r="EO302" s="57"/>
      <c r="EP302" s="57"/>
      <c r="EQ302" s="57"/>
      <c r="ER302" s="57"/>
      <c r="ES302" s="57"/>
      <c r="ET302" s="57"/>
      <c r="EU302" s="57"/>
      <c r="EV302" s="57"/>
      <c r="EW302" s="57"/>
      <c r="EX302" s="57"/>
      <c r="EY302" s="57"/>
      <c r="EZ302" s="57"/>
      <c r="FA302" s="57"/>
      <c r="FB302" s="57"/>
      <c r="FC302" s="57"/>
      <c r="FD302" s="57"/>
      <c r="FE302" s="57"/>
      <c r="FF302" s="57"/>
      <c r="FG302" s="57"/>
      <c r="FH302" s="57"/>
      <c r="FI302" s="57"/>
      <c r="FJ302" s="57"/>
      <c r="FK302" s="57"/>
      <c r="FL302" s="57"/>
      <c r="FM302" s="57"/>
      <c r="FN302" s="57"/>
      <c r="FO302" s="57"/>
      <c r="FP302" s="57"/>
      <c r="FQ302" s="57"/>
      <c r="FR302" s="57"/>
      <c r="FS302" s="57"/>
      <c r="FT302" s="57"/>
      <c r="FU302" s="57"/>
      <c r="FV302" s="57"/>
      <c r="FW302" s="57"/>
      <c r="FX302" s="57"/>
      <c r="FY302" s="57"/>
      <c r="FZ302" s="57"/>
      <c r="GA302" s="57"/>
      <c r="GB302" s="57"/>
      <c r="GC302" s="57"/>
      <c r="GD302" s="57"/>
      <c r="GE302" s="57"/>
      <c r="GF302" s="57"/>
      <c r="GG302" s="57"/>
      <c r="GH302" s="57"/>
      <c r="GI302" s="57"/>
      <c r="GJ302" s="57"/>
      <c r="GK302" s="57"/>
      <c r="GL302" s="57"/>
      <c r="GM302" s="57"/>
      <c r="GN302" s="57"/>
      <c r="GO302" s="57"/>
      <c r="GP302" s="57"/>
      <c r="GQ302" s="57"/>
      <c r="GR302" s="57"/>
      <c r="GS302" s="57"/>
      <c r="GT302" s="57"/>
      <c r="GU302" s="57"/>
      <c r="GV302" s="57"/>
      <c r="GW302" s="57"/>
      <c r="GX302" s="57"/>
    </row>
    <row r="303" spans="1:206" s="86" customFormat="1" x14ac:dyDescent="0.25">
      <c r="A303" s="1">
        <f>IF(B303&gt;0,SUM(MAX($A$10:A302),1),0)</f>
        <v>0</v>
      </c>
      <c r="B303" s="233"/>
      <c r="C303" s="234" t="s">
        <v>450</v>
      </c>
      <c r="D303" s="233"/>
      <c r="E303" s="217"/>
      <c r="F303" s="85">
        <v>2</v>
      </c>
      <c r="G303" s="85">
        <v>1120</v>
      </c>
      <c r="H303" s="211"/>
      <c r="I303" s="212">
        <v>111</v>
      </c>
      <c r="J303" s="87"/>
      <c r="K303" s="31" t="s">
        <v>451</v>
      </c>
      <c r="L303" s="55"/>
      <c r="M303" s="56"/>
      <c r="N303" s="56"/>
      <c r="O303" s="56"/>
      <c r="P303" s="56"/>
      <c r="Q303" s="55"/>
      <c r="R303" s="56"/>
      <c r="S303" s="56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  <c r="DO303" s="57"/>
      <c r="DP303" s="57"/>
      <c r="DQ303" s="57"/>
      <c r="DR303" s="57"/>
      <c r="DS303" s="57"/>
      <c r="DT303" s="57"/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  <c r="EF303" s="57"/>
      <c r="EG303" s="57"/>
      <c r="EH303" s="57"/>
      <c r="EI303" s="57"/>
      <c r="EJ303" s="57"/>
      <c r="EK303" s="57"/>
      <c r="EL303" s="57"/>
      <c r="EM303" s="57"/>
      <c r="EN303" s="57"/>
      <c r="EO303" s="57"/>
      <c r="EP303" s="57"/>
      <c r="EQ303" s="57"/>
      <c r="ER303" s="57"/>
      <c r="ES303" s="57"/>
      <c r="ET303" s="57"/>
      <c r="EU303" s="57"/>
      <c r="EV303" s="57"/>
      <c r="EW303" s="57"/>
      <c r="EX303" s="57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57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7"/>
      <c r="GO303" s="57"/>
      <c r="GP303" s="57"/>
      <c r="GQ303" s="57"/>
      <c r="GR303" s="57"/>
      <c r="GS303" s="57"/>
      <c r="GT303" s="57"/>
      <c r="GU303" s="57"/>
      <c r="GV303" s="57"/>
      <c r="GW303" s="57"/>
      <c r="GX303" s="57"/>
    </row>
    <row r="304" spans="1:206" s="86" customFormat="1" ht="11.25" customHeight="1" x14ac:dyDescent="0.25">
      <c r="A304" s="1">
        <f>IF(B304&gt;0,SUM(MAX($A$10:A303),1),0)</f>
        <v>0</v>
      </c>
      <c r="B304" s="233"/>
      <c r="C304" s="234"/>
      <c r="D304" s="233"/>
      <c r="E304" s="207"/>
      <c r="F304" s="85">
        <v>8</v>
      </c>
      <c r="G304" s="85">
        <v>980</v>
      </c>
      <c r="H304" s="209"/>
      <c r="I304" s="213"/>
      <c r="J304" s="87"/>
      <c r="K304" s="54"/>
      <c r="L304" s="55"/>
      <c r="M304" s="56"/>
      <c r="N304" s="56"/>
      <c r="O304" s="56"/>
      <c r="P304" s="56"/>
      <c r="Q304" s="55"/>
      <c r="R304" s="56"/>
      <c r="S304" s="56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/>
      <c r="DR304" s="57"/>
      <c r="DS304" s="57"/>
      <c r="DT304" s="57"/>
      <c r="DU304" s="57"/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  <c r="EF304" s="57"/>
      <c r="EG304" s="57"/>
      <c r="EH304" s="57"/>
      <c r="EI304" s="57"/>
      <c r="EJ304" s="57"/>
      <c r="EK304" s="57"/>
      <c r="EL304" s="57"/>
      <c r="EM304" s="57"/>
      <c r="EN304" s="57"/>
      <c r="EO304" s="57"/>
      <c r="EP304" s="57"/>
      <c r="EQ304" s="57"/>
      <c r="ER304" s="57"/>
      <c r="ES304" s="57"/>
      <c r="ET304" s="57"/>
      <c r="EU304" s="57"/>
      <c r="EV304" s="57"/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/>
      <c r="FH304" s="57"/>
      <c r="FI304" s="57"/>
      <c r="FJ304" s="57"/>
      <c r="FK304" s="57"/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7"/>
      <c r="FW304" s="57"/>
      <c r="FX304" s="57"/>
      <c r="FY304" s="57"/>
      <c r="FZ304" s="57"/>
      <c r="GA304" s="57"/>
      <c r="GB304" s="57"/>
      <c r="GC304" s="57"/>
      <c r="GD304" s="57"/>
      <c r="GE304" s="57"/>
      <c r="GF304" s="57"/>
      <c r="GG304" s="57"/>
      <c r="GH304" s="57"/>
      <c r="GI304" s="57"/>
      <c r="GJ304" s="57"/>
      <c r="GK304" s="57"/>
      <c r="GL304" s="57"/>
      <c r="GM304" s="57"/>
      <c r="GN304" s="57"/>
      <c r="GO304" s="57"/>
      <c r="GP304" s="57"/>
      <c r="GQ304" s="57"/>
      <c r="GR304" s="57"/>
      <c r="GS304" s="57"/>
      <c r="GT304" s="57"/>
      <c r="GU304" s="57"/>
      <c r="GV304" s="57"/>
      <c r="GW304" s="57"/>
      <c r="GX304" s="57"/>
    </row>
    <row r="305" spans="1:206" s="88" customFormat="1" x14ac:dyDescent="0.25">
      <c r="A305" s="1"/>
      <c r="B305" s="87">
        <v>2</v>
      </c>
      <c r="C305" s="84" t="s">
        <v>455</v>
      </c>
      <c r="D305" s="87" t="s">
        <v>448</v>
      </c>
      <c r="E305" s="30" t="s">
        <v>26</v>
      </c>
      <c r="F305" s="85">
        <v>10</v>
      </c>
      <c r="G305" s="85">
        <v>980</v>
      </c>
      <c r="H305" s="29" t="str">
        <f>IF(AND(Q305&lt;3600,Q305&gt;0),"nhỏ",IF(AND(Q305&gt;=3600,Q305&lt;72000),"vừa",IF(Q305&lt;&gt;0,"lớn",0)))</f>
        <v>vừa</v>
      </c>
      <c r="I305" s="28">
        <v>1825.3</v>
      </c>
      <c r="J305" s="31"/>
      <c r="K305" s="31" t="s">
        <v>456</v>
      </c>
      <c r="L305" s="55"/>
      <c r="M305" s="56"/>
      <c r="N305" s="56"/>
      <c r="O305" s="56"/>
      <c r="P305" s="56"/>
      <c r="Q305" s="55">
        <f>F305*G305</f>
        <v>9800</v>
      </c>
      <c r="R305" s="56"/>
      <c r="S305" s="56"/>
      <c r="T305" s="57"/>
      <c r="U305" s="101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  <c r="EF305" s="57"/>
      <c r="EG305" s="57"/>
      <c r="EH305" s="57"/>
      <c r="EI305" s="57"/>
      <c r="EJ305" s="57"/>
      <c r="EK305" s="57"/>
      <c r="EL305" s="57"/>
      <c r="EM305" s="57"/>
      <c r="EN305" s="57"/>
      <c r="EO305" s="57"/>
      <c r="EP305" s="57"/>
      <c r="EQ305" s="57"/>
      <c r="ER305" s="57"/>
      <c r="ES305" s="57"/>
      <c r="ET305" s="57"/>
      <c r="EU305" s="57"/>
      <c r="EV305" s="57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57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7"/>
      <c r="GV305" s="57"/>
      <c r="GW305" s="57"/>
      <c r="GX305" s="57"/>
    </row>
    <row r="306" spans="1:206" s="86" customFormat="1" x14ac:dyDescent="0.25">
      <c r="A306" s="1">
        <f ca="1">IF(B306&gt;0,SUM(MAX($A$10:A304),1),0)</f>
        <v>186</v>
      </c>
      <c r="B306" s="87">
        <v>3</v>
      </c>
      <c r="C306" s="84" t="s">
        <v>452</v>
      </c>
      <c r="D306" s="87" t="s">
        <v>453</v>
      </c>
      <c r="E306" s="30" t="s">
        <v>26</v>
      </c>
      <c r="F306" s="85">
        <v>4</v>
      </c>
      <c r="G306" s="85">
        <v>980</v>
      </c>
      <c r="H306" s="29" t="str">
        <f t="shared" ref="H306:H310" si="30">IF(AND(Q306&lt;3600,Q306&gt;0),"nhỏ",IF(AND(Q306&gt;=3600,Q306&lt;72000),"vừa",IF(Q306&lt;&gt;0,"lớn",0)))</f>
        <v>vừa</v>
      </c>
      <c r="I306" s="28">
        <v>364.7</v>
      </c>
      <c r="J306" s="31"/>
      <c r="K306" s="31" t="s">
        <v>454</v>
      </c>
      <c r="L306" s="55"/>
      <c r="M306" s="56"/>
      <c r="N306" s="56"/>
      <c r="O306" s="56"/>
      <c r="P306" s="56"/>
      <c r="Q306" s="55">
        <f>F306*G306</f>
        <v>3920</v>
      </c>
      <c r="R306" s="56"/>
      <c r="S306" s="56"/>
      <c r="T306" s="57"/>
      <c r="U306" s="101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  <c r="DO306" s="57"/>
      <c r="DP306" s="57"/>
      <c r="DQ306" s="57"/>
      <c r="DR306" s="57"/>
      <c r="DS306" s="57"/>
      <c r="DT306" s="57"/>
      <c r="DU306" s="57"/>
      <c r="DV306" s="57"/>
      <c r="DW306" s="57"/>
      <c r="DX306" s="57"/>
      <c r="DY306" s="57"/>
      <c r="DZ306" s="57"/>
      <c r="EA306" s="57"/>
      <c r="EB306" s="57"/>
      <c r="EC306" s="57"/>
      <c r="ED306" s="57"/>
      <c r="EE306" s="57"/>
      <c r="EF306" s="57"/>
      <c r="EG306" s="57"/>
      <c r="EH306" s="57"/>
      <c r="EI306" s="57"/>
      <c r="EJ306" s="57"/>
      <c r="EK306" s="57"/>
      <c r="EL306" s="57"/>
      <c r="EM306" s="57"/>
      <c r="EN306" s="57"/>
      <c r="EO306" s="57"/>
      <c r="EP306" s="57"/>
      <c r="EQ306" s="57"/>
      <c r="ER306" s="57"/>
      <c r="ES306" s="57"/>
      <c r="ET306" s="57"/>
      <c r="EU306" s="57"/>
      <c r="EV306" s="57"/>
      <c r="EW306" s="57"/>
      <c r="EX306" s="57"/>
      <c r="EY306" s="57"/>
      <c r="EZ306" s="57"/>
      <c r="FA306" s="57"/>
      <c r="FB306" s="57"/>
      <c r="FC306" s="57"/>
      <c r="FD306" s="57"/>
      <c r="FE306" s="57"/>
      <c r="FF306" s="57"/>
      <c r="FG306" s="57"/>
      <c r="FH306" s="57"/>
      <c r="FI306" s="57"/>
      <c r="FJ306" s="57"/>
      <c r="FK306" s="57"/>
      <c r="FL306" s="57"/>
      <c r="FM306" s="57"/>
      <c r="FN306" s="57"/>
      <c r="FO306" s="57"/>
      <c r="FP306" s="57"/>
      <c r="FQ306" s="57"/>
      <c r="FR306" s="57"/>
      <c r="FS306" s="57"/>
      <c r="FT306" s="57"/>
      <c r="FU306" s="57"/>
      <c r="FV306" s="57"/>
      <c r="FW306" s="57"/>
      <c r="FX306" s="57"/>
      <c r="FY306" s="57"/>
      <c r="FZ306" s="57"/>
      <c r="GA306" s="57"/>
      <c r="GB306" s="57"/>
      <c r="GC306" s="57"/>
      <c r="GD306" s="57"/>
      <c r="GE306" s="57"/>
      <c r="GF306" s="57"/>
      <c r="GG306" s="57"/>
      <c r="GH306" s="57"/>
      <c r="GI306" s="57"/>
      <c r="GJ306" s="57"/>
      <c r="GK306" s="57"/>
      <c r="GL306" s="57"/>
      <c r="GM306" s="57"/>
      <c r="GN306" s="57"/>
      <c r="GO306" s="57"/>
      <c r="GP306" s="57"/>
      <c r="GQ306" s="57"/>
      <c r="GR306" s="57"/>
      <c r="GS306" s="57"/>
      <c r="GT306" s="57"/>
      <c r="GU306" s="57"/>
      <c r="GV306" s="57"/>
      <c r="GW306" s="57"/>
      <c r="GX306" s="57"/>
    </row>
    <row r="307" spans="1:206" s="82" customFormat="1" ht="21.75" customHeight="1" x14ac:dyDescent="0.25">
      <c r="A307" s="1">
        <f>IF(B307&gt;0,SUM(MAX($A$10:A306),1),0)</f>
        <v>0</v>
      </c>
      <c r="B307" s="22"/>
      <c r="C307" s="20" t="s">
        <v>457</v>
      </c>
      <c r="D307" s="22" t="str">
        <f>CONCATENATE(COUNT(B307:B310)," trạm")</f>
        <v>2 trạm</v>
      </c>
      <c r="E307" s="22"/>
      <c r="F307" s="99">
        <f>SUM(F308:F311)</f>
        <v>10</v>
      </c>
      <c r="G307" s="31"/>
      <c r="H307" s="49"/>
      <c r="I307" s="49"/>
      <c r="J307" s="49"/>
      <c r="K307" s="50"/>
      <c r="L307" s="25">
        <f>COUNTIF(H308:H310,"lớn")</f>
        <v>0</v>
      </c>
      <c r="M307" s="25">
        <f>COUNTIF(H308:H310,"vừa")</f>
        <v>2</v>
      </c>
      <c r="N307" s="25">
        <f>COUNTIF(H308:H310,"nhỏ")</f>
        <v>0</v>
      </c>
      <c r="O307" s="52"/>
      <c r="P307" s="52"/>
      <c r="Q307" s="51">
        <f>SUM(Q308:Q312)</f>
        <v>60790</v>
      </c>
      <c r="R307" s="52"/>
      <c r="S307" s="52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  <c r="CD307" s="53"/>
      <c r="CE307" s="53"/>
      <c r="CF307" s="53"/>
      <c r="CG307" s="53"/>
      <c r="CH307" s="53"/>
      <c r="CI307" s="53"/>
      <c r="CJ307" s="53"/>
      <c r="CK307" s="53"/>
      <c r="CL307" s="53"/>
      <c r="CM307" s="53"/>
      <c r="CN307" s="53"/>
      <c r="CO307" s="53"/>
      <c r="CP307" s="53"/>
      <c r="CQ307" s="53"/>
      <c r="CR307" s="53"/>
      <c r="CS307" s="53"/>
      <c r="CT307" s="53"/>
      <c r="CU307" s="53"/>
      <c r="CV307" s="53"/>
      <c r="CW307" s="53"/>
      <c r="CX307" s="53"/>
      <c r="CY307" s="53"/>
      <c r="CZ307" s="53"/>
      <c r="DA307" s="53"/>
      <c r="DB307" s="53"/>
      <c r="DC307" s="53"/>
      <c r="DD307" s="53"/>
      <c r="DE307" s="53"/>
      <c r="DF307" s="53"/>
      <c r="DG307" s="53"/>
      <c r="DH307" s="53"/>
      <c r="DI307" s="53"/>
      <c r="DJ307" s="53"/>
      <c r="DK307" s="53"/>
      <c r="DL307" s="53"/>
      <c r="DM307" s="53"/>
      <c r="DN307" s="53"/>
      <c r="DO307" s="53"/>
      <c r="DP307" s="53"/>
      <c r="DQ307" s="53"/>
      <c r="DR307" s="53"/>
      <c r="DS307" s="53"/>
      <c r="DT307" s="53"/>
      <c r="DU307" s="53"/>
      <c r="DV307" s="53"/>
      <c r="DW307" s="53"/>
      <c r="DX307" s="53"/>
      <c r="DY307" s="53"/>
      <c r="DZ307" s="53"/>
      <c r="EA307" s="53"/>
      <c r="EB307" s="53"/>
      <c r="EC307" s="53"/>
      <c r="ED307" s="53"/>
      <c r="EE307" s="53"/>
      <c r="EF307" s="53"/>
      <c r="EG307" s="53"/>
      <c r="EH307" s="53"/>
      <c r="EI307" s="53"/>
      <c r="EJ307" s="53"/>
      <c r="EK307" s="53"/>
      <c r="EL307" s="53"/>
      <c r="EM307" s="53"/>
      <c r="EN307" s="53"/>
      <c r="EO307" s="53"/>
      <c r="EP307" s="53"/>
      <c r="EQ307" s="53"/>
      <c r="ER307" s="53"/>
      <c r="ES307" s="53"/>
      <c r="ET307" s="53"/>
      <c r="EU307" s="53"/>
      <c r="EV307" s="53"/>
      <c r="EW307" s="53"/>
      <c r="EX307" s="53"/>
      <c r="EY307" s="53"/>
      <c r="EZ307" s="53"/>
      <c r="FA307" s="53"/>
      <c r="FB307" s="53"/>
      <c r="FC307" s="53"/>
      <c r="FD307" s="53"/>
      <c r="FE307" s="53"/>
      <c r="FF307" s="53"/>
      <c r="FG307" s="53"/>
      <c r="FH307" s="53"/>
      <c r="FI307" s="53"/>
      <c r="FJ307" s="53"/>
      <c r="FK307" s="53"/>
      <c r="FL307" s="53"/>
      <c r="FM307" s="53"/>
      <c r="FN307" s="53"/>
      <c r="FO307" s="53"/>
      <c r="FP307" s="53"/>
      <c r="FQ307" s="53"/>
      <c r="FR307" s="53"/>
      <c r="FS307" s="53"/>
      <c r="FT307" s="53"/>
      <c r="FU307" s="53"/>
      <c r="FV307" s="53"/>
      <c r="FW307" s="53"/>
      <c r="FX307" s="53"/>
      <c r="FY307" s="53"/>
      <c r="FZ307" s="53"/>
      <c r="GA307" s="53"/>
      <c r="GB307" s="53"/>
      <c r="GC307" s="53"/>
      <c r="GD307" s="53"/>
      <c r="GE307" s="53"/>
      <c r="GF307" s="53"/>
      <c r="GG307" s="53"/>
      <c r="GH307" s="53"/>
      <c r="GI307" s="53"/>
      <c r="GJ307" s="53"/>
      <c r="GK307" s="53"/>
      <c r="GL307" s="53"/>
      <c r="GM307" s="53"/>
      <c r="GN307" s="53"/>
      <c r="GO307" s="53"/>
      <c r="GP307" s="53"/>
      <c r="GQ307" s="53"/>
      <c r="GR307" s="53"/>
      <c r="GS307" s="53"/>
      <c r="GT307" s="53"/>
      <c r="GU307" s="53"/>
      <c r="GV307" s="53"/>
      <c r="GW307" s="53"/>
      <c r="GX307" s="53"/>
    </row>
    <row r="308" spans="1:206" s="86" customFormat="1" x14ac:dyDescent="0.25">
      <c r="A308" s="1">
        <f ca="1">IF(B308&gt;0,SUM(MAX($A$10:A311),1),0)</f>
        <v>188</v>
      </c>
      <c r="B308" s="233">
        <v>1</v>
      </c>
      <c r="C308" s="234" t="s">
        <v>461</v>
      </c>
      <c r="D308" s="233" t="s">
        <v>462</v>
      </c>
      <c r="E308" s="206" t="s">
        <v>459</v>
      </c>
      <c r="F308" s="85">
        <v>1</v>
      </c>
      <c r="G308" s="85">
        <v>980</v>
      </c>
      <c r="H308" s="208" t="str">
        <f t="shared" si="30"/>
        <v>vừa</v>
      </c>
      <c r="I308" s="212">
        <v>200</v>
      </c>
      <c r="J308" s="212">
        <v>200</v>
      </c>
      <c r="K308" s="212" t="s">
        <v>463</v>
      </c>
      <c r="L308" s="55"/>
      <c r="M308" s="56"/>
      <c r="N308" s="56"/>
      <c r="O308" s="56"/>
      <c r="P308" s="56"/>
      <c r="Q308" s="55">
        <f>F308*G308+F309*G309</f>
        <v>6830</v>
      </c>
      <c r="R308" s="56"/>
      <c r="S308" s="56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  <c r="BV308" s="57"/>
      <c r="BW308" s="57"/>
      <c r="BX308" s="57"/>
      <c r="BY308" s="57"/>
      <c r="BZ308" s="57"/>
      <c r="CA308" s="57"/>
      <c r="CB308" s="57"/>
      <c r="CC308" s="57"/>
      <c r="CD308" s="57"/>
      <c r="CE308" s="57"/>
      <c r="CF308" s="57"/>
      <c r="CG308" s="57"/>
      <c r="CH308" s="57"/>
      <c r="CI308" s="57"/>
      <c r="CJ308" s="57"/>
      <c r="CK308" s="57"/>
      <c r="CL308" s="57"/>
      <c r="CM308" s="57"/>
      <c r="CN308" s="57"/>
      <c r="CO308" s="57"/>
      <c r="CP308" s="57"/>
      <c r="CQ308" s="57"/>
      <c r="CR308" s="57"/>
      <c r="CS308" s="57"/>
      <c r="CT308" s="57"/>
      <c r="CU308" s="57"/>
      <c r="CV308" s="57"/>
      <c r="CW308" s="57"/>
      <c r="CX308" s="57"/>
      <c r="CY308" s="57"/>
      <c r="CZ308" s="57"/>
      <c r="DA308" s="57"/>
      <c r="DB308" s="57"/>
      <c r="DC308" s="57"/>
      <c r="DD308" s="57"/>
      <c r="DE308" s="57"/>
      <c r="DF308" s="57"/>
      <c r="DG308" s="57"/>
      <c r="DH308" s="57"/>
      <c r="DI308" s="57"/>
      <c r="DJ308" s="57"/>
      <c r="DK308" s="57"/>
      <c r="DL308" s="57"/>
      <c r="DM308" s="57"/>
      <c r="DN308" s="57"/>
      <c r="DO308" s="57"/>
      <c r="DP308" s="57"/>
      <c r="DQ308" s="57"/>
      <c r="DR308" s="57"/>
      <c r="DS308" s="57"/>
      <c r="DT308" s="57"/>
      <c r="DU308" s="57"/>
      <c r="DV308" s="57"/>
      <c r="DW308" s="57"/>
      <c r="DX308" s="57"/>
      <c r="DY308" s="57"/>
      <c r="DZ308" s="57"/>
      <c r="EA308" s="57"/>
      <c r="EB308" s="57"/>
      <c r="EC308" s="57"/>
      <c r="ED308" s="57"/>
      <c r="EE308" s="57"/>
      <c r="EF308" s="57"/>
      <c r="EG308" s="57"/>
      <c r="EH308" s="57"/>
      <c r="EI308" s="57"/>
      <c r="EJ308" s="57"/>
      <c r="EK308" s="57"/>
      <c r="EL308" s="57"/>
      <c r="EM308" s="57"/>
      <c r="EN308" s="57"/>
      <c r="EO308" s="57"/>
      <c r="EP308" s="57"/>
      <c r="EQ308" s="57"/>
      <c r="ER308" s="57"/>
      <c r="ES308" s="57"/>
      <c r="ET308" s="57"/>
      <c r="EU308" s="57"/>
      <c r="EV308" s="57"/>
      <c r="EW308" s="57"/>
      <c r="EX308" s="57"/>
      <c r="EY308" s="57"/>
      <c r="EZ308" s="57"/>
      <c r="FA308" s="57"/>
      <c r="FB308" s="57"/>
      <c r="FC308" s="57"/>
      <c r="FD308" s="57"/>
      <c r="FE308" s="57"/>
      <c r="FF308" s="57"/>
      <c r="FG308" s="57"/>
      <c r="FH308" s="57"/>
      <c r="FI308" s="57"/>
      <c r="FJ308" s="57"/>
      <c r="FK308" s="57"/>
      <c r="FL308" s="57"/>
      <c r="FM308" s="57"/>
      <c r="FN308" s="57"/>
      <c r="FO308" s="57"/>
      <c r="FP308" s="57"/>
      <c r="FQ308" s="57"/>
      <c r="FR308" s="57"/>
      <c r="FS308" s="57"/>
      <c r="FT308" s="57"/>
      <c r="FU308" s="57"/>
      <c r="FV308" s="57"/>
      <c r="FW308" s="57"/>
      <c r="FX308" s="57"/>
      <c r="FY308" s="57"/>
      <c r="FZ308" s="57"/>
      <c r="GA308" s="57"/>
      <c r="GB308" s="57"/>
      <c r="GC308" s="57"/>
      <c r="GD308" s="57"/>
      <c r="GE308" s="57"/>
      <c r="GF308" s="57"/>
      <c r="GG308" s="57"/>
      <c r="GH308" s="57"/>
      <c r="GI308" s="57"/>
      <c r="GJ308" s="57"/>
      <c r="GK308" s="57"/>
      <c r="GL308" s="57"/>
      <c r="GM308" s="57"/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</row>
    <row r="309" spans="1:206" s="86" customFormat="1" x14ac:dyDescent="0.25">
      <c r="A309" s="1">
        <f>IF(B309&gt;0,SUM(MAX($A$10:A308),1),0)</f>
        <v>0</v>
      </c>
      <c r="B309" s="233"/>
      <c r="C309" s="234"/>
      <c r="D309" s="225"/>
      <c r="E309" s="207"/>
      <c r="F309" s="85">
        <v>3</v>
      </c>
      <c r="G309" s="85">
        <v>1950</v>
      </c>
      <c r="H309" s="209"/>
      <c r="I309" s="213"/>
      <c r="J309" s="213"/>
      <c r="K309" s="213"/>
      <c r="L309" s="55"/>
      <c r="M309" s="56"/>
      <c r="N309" s="56"/>
      <c r="O309" s="56"/>
      <c r="P309" s="56"/>
      <c r="Q309" s="55"/>
      <c r="R309" s="56"/>
      <c r="S309" s="56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  <c r="EF309" s="57"/>
      <c r="EG309" s="57"/>
      <c r="EH309" s="57"/>
      <c r="EI309" s="57"/>
      <c r="EJ309" s="57"/>
      <c r="EK309" s="57"/>
      <c r="EL309" s="57"/>
      <c r="EM309" s="57"/>
      <c r="EN309" s="57"/>
      <c r="EO309" s="57"/>
      <c r="EP309" s="57"/>
      <c r="EQ309" s="57"/>
      <c r="ER309" s="57"/>
      <c r="ES309" s="57"/>
      <c r="ET309" s="57"/>
      <c r="EU309" s="57"/>
      <c r="EV309" s="57"/>
      <c r="EW309" s="57"/>
      <c r="EX309" s="57"/>
      <c r="EY309" s="57"/>
      <c r="EZ309" s="57"/>
      <c r="FA309" s="57"/>
      <c r="FB309" s="57"/>
      <c r="FC309" s="57"/>
      <c r="FD309" s="57"/>
      <c r="FE309" s="57"/>
      <c r="FF309" s="57"/>
      <c r="FG309" s="57"/>
      <c r="FH309" s="57"/>
      <c r="FI309" s="57"/>
      <c r="FJ309" s="57"/>
      <c r="FK309" s="57"/>
      <c r="FL309" s="57"/>
      <c r="FM309" s="57"/>
      <c r="FN309" s="57"/>
      <c r="FO309" s="57"/>
      <c r="FP309" s="57"/>
      <c r="FQ309" s="57"/>
      <c r="FR309" s="57"/>
      <c r="FS309" s="57"/>
      <c r="FT309" s="57"/>
      <c r="FU309" s="57"/>
      <c r="FV309" s="57"/>
      <c r="FW309" s="57"/>
      <c r="FX309" s="57"/>
      <c r="FY309" s="57"/>
      <c r="FZ309" s="57"/>
      <c r="GA309" s="57"/>
      <c r="GB309" s="57"/>
      <c r="GC309" s="57"/>
      <c r="GD309" s="57"/>
      <c r="GE309" s="57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</row>
    <row r="310" spans="1:206" s="86" customFormat="1" x14ac:dyDescent="0.25">
      <c r="A310" s="1">
        <f ca="1">IF(B310&gt;0,SUM(MAX($A$10:A309),1),0)</f>
        <v>189</v>
      </c>
      <c r="B310" s="87">
        <v>2</v>
      </c>
      <c r="C310" s="84" t="s">
        <v>464</v>
      </c>
      <c r="D310" s="87" t="s">
        <v>462</v>
      </c>
      <c r="E310" s="30" t="s">
        <v>459</v>
      </c>
      <c r="F310" s="85">
        <v>3</v>
      </c>
      <c r="G310" s="85">
        <v>1950</v>
      </c>
      <c r="H310" s="29" t="str">
        <f t="shared" si="30"/>
        <v>vừa</v>
      </c>
      <c r="I310" s="29"/>
      <c r="J310" s="28">
        <v>195</v>
      </c>
      <c r="K310" s="28" t="s">
        <v>465</v>
      </c>
      <c r="L310" s="55"/>
      <c r="M310" s="56"/>
      <c r="N310" s="56"/>
      <c r="O310" s="56"/>
      <c r="P310" s="56"/>
      <c r="Q310" s="55">
        <f>F310*G310</f>
        <v>5850</v>
      </c>
      <c r="R310" s="56"/>
      <c r="S310" s="56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7"/>
      <c r="FD310" s="57"/>
      <c r="FE310" s="57"/>
      <c r="FF310" s="57"/>
      <c r="FG310" s="57"/>
      <c r="FH310" s="57"/>
      <c r="FI310" s="57"/>
      <c r="FJ310" s="57"/>
      <c r="FK310" s="57"/>
      <c r="FL310" s="57"/>
      <c r="FM310" s="57"/>
      <c r="FN310" s="57"/>
      <c r="FO310" s="57"/>
      <c r="FP310" s="57"/>
      <c r="FQ310" s="57"/>
      <c r="FR310" s="57"/>
      <c r="FS310" s="57"/>
      <c r="FT310" s="57"/>
      <c r="FU310" s="57"/>
      <c r="FV310" s="57"/>
      <c r="FW310" s="57"/>
      <c r="FX310" s="57"/>
      <c r="FY310" s="57"/>
      <c r="FZ310" s="57"/>
      <c r="GA310" s="57"/>
      <c r="GB310" s="57"/>
      <c r="GC310" s="57"/>
      <c r="GD310" s="57"/>
      <c r="GE310" s="57"/>
      <c r="GF310" s="57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</row>
    <row r="311" spans="1:206" s="86" customFormat="1" x14ac:dyDescent="0.25">
      <c r="A311" s="1">
        <f ca="1">IF(B311&gt;0,SUM(MAX($A$10:A307),1),0)</f>
        <v>187</v>
      </c>
      <c r="B311" s="87">
        <v>3</v>
      </c>
      <c r="C311" s="84" t="s">
        <v>458</v>
      </c>
      <c r="D311" s="87" t="s">
        <v>458</v>
      </c>
      <c r="E311" s="30" t="s">
        <v>459</v>
      </c>
      <c r="F311" s="85">
        <v>3</v>
      </c>
      <c r="G311" s="28">
        <v>2500</v>
      </c>
      <c r="H311" s="29" t="str">
        <f>IF(AND(Q311&lt;3600,Q311&gt;0),"nhỏ",IF(AND(Q311&gt;=3600,Q311&lt;72000),"vừa",IF(Q311&lt;&gt;0,"lớn",0)))</f>
        <v>vừa</v>
      </c>
      <c r="I311" s="29"/>
      <c r="J311" s="29"/>
      <c r="K311" s="31" t="s">
        <v>460</v>
      </c>
      <c r="L311" s="55"/>
      <c r="M311" s="56"/>
      <c r="N311" s="56"/>
      <c r="O311" s="56"/>
      <c r="P311" s="56"/>
      <c r="Q311" s="55">
        <f>F311*G311</f>
        <v>7500</v>
      </c>
      <c r="R311" s="56"/>
      <c r="S311" s="56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  <c r="BU311" s="57"/>
      <c r="BV311" s="57"/>
      <c r="BW311" s="57"/>
      <c r="BX311" s="57"/>
      <c r="BY311" s="57"/>
      <c r="BZ311" s="57"/>
      <c r="CA311" s="57"/>
      <c r="CB311" s="57"/>
      <c r="CC311" s="57"/>
      <c r="CD311" s="57"/>
      <c r="CE311" s="57"/>
      <c r="CF311" s="57"/>
      <c r="CG311" s="57"/>
      <c r="CH311" s="57"/>
      <c r="CI311" s="57"/>
      <c r="CJ311" s="57"/>
      <c r="CK311" s="57"/>
      <c r="CL311" s="57"/>
      <c r="CM311" s="57"/>
      <c r="CN311" s="57"/>
      <c r="CO311" s="57"/>
      <c r="CP311" s="57"/>
      <c r="CQ311" s="57"/>
      <c r="CR311" s="57"/>
      <c r="CS311" s="57"/>
      <c r="CT311" s="57"/>
      <c r="CU311" s="57"/>
      <c r="CV311" s="57"/>
      <c r="CW311" s="57"/>
      <c r="CX311" s="57"/>
      <c r="CY311" s="57"/>
      <c r="CZ311" s="57"/>
      <c r="DA311" s="57"/>
      <c r="DB311" s="57"/>
      <c r="DC311" s="57"/>
      <c r="DD311" s="57"/>
      <c r="DE311" s="57"/>
      <c r="DF311" s="57"/>
      <c r="DG311" s="57"/>
      <c r="DH311" s="57"/>
      <c r="DI311" s="57"/>
      <c r="DJ311" s="57"/>
      <c r="DK311" s="57"/>
      <c r="DL311" s="57"/>
      <c r="DM311" s="57"/>
      <c r="DN311" s="57"/>
      <c r="DO311" s="57"/>
      <c r="DP311" s="57"/>
      <c r="DQ311" s="57"/>
      <c r="DR311" s="57"/>
      <c r="DS311" s="57"/>
      <c r="DT311" s="57"/>
      <c r="DU311" s="57"/>
      <c r="DV311" s="57"/>
      <c r="DW311" s="57"/>
      <c r="DX311" s="57"/>
      <c r="DY311" s="57"/>
      <c r="DZ311" s="57"/>
      <c r="EA311" s="57"/>
      <c r="EB311" s="57"/>
      <c r="EC311" s="57"/>
      <c r="ED311" s="57"/>
      <c r="EE311" s="57"/>
      <c r="EF311" s="57"/>
      <c r="EG311" s="57"/>
      <c r="EH311" s="57"/>
      <c r="EI311" s="57"/>
      <c r="EJ311" s="57"/>
      <c r="EK311" s="57"/>
      <c r="EL311" s="57"/>
      <c r="EM311" s="57"/>
      <c r="EN311" s="57"/>
      <c r="EO311" s="57"/>
      <c r="EP311" s="57"/>
      <c r="EQ311" s="57"/>
      <c r="ER311" s="57"/>
      <c r="ES311" s="57"/>
      <c r="ET311" s="57"/>
      <c r="EU311" s="57"/>
      <c r="EV311" s="57"/>
      <c r="EW311" s="57"/>
      <c r="EX311" s="57"/>
      <c r="EY311" s="57"/>
      <c r="EZ311" s="57"/>
      <c r="FA311" s="57"/>
      <c r="FB311" s="57"/>
      <c r="FC311" s="57"/>
      <c r="FD311" s="57"/>
      <c r="FE311" s="57"/>
      <c r="FF311" s="57"/>
      <c r="FG311" s="57"/>
      <c r="FH311" s="57"/>
      <c r="FI311" s="57"/>
      <c r="FJ311" s="57"/>
      <c r="FK311" s="57"/>
      <c r="FL311" s="57"/>
      <c r="FM311" s="57"/>
      <c r="FN311" s="57"/>
      <c r="FO311" s="57"/>
      <c r="FP311" s="57"/>
      <c r="FQ311" s="57"/>
      <c r="FR311" s="57"/>
      <c r="FS311" s="57"/>
      <c r="FT311" s="57"/>
      <c r="FU311" s="57"/>
      <c r="FV311" s="57"/>
      <c r="FW311" s="57"/>
      <c r="FX311" s="57"/>
      <c r="FY311" s="57"/>
      <c r="FZ311" s="57"/>
      <c r="GA311" s="57"/>
      <c r="GB311" s="57"/>
      <c r="GC311" s="57"/>
      <c r="GD311" s="57"/>
      <c r="GE311" s="57"/>
      <c r="GF311" s="57"/>
      <c r="GG311" s="57"/>
      <c r="GH311" s="57"/>
      <c r="GI311" s="57"/>
      <c r="GJ311" s="57"/>
      <c r="GK311" s="57"/>
      <c r="GL311" s="57"/>
      <c r="GM311" s="57"/>
      <c r="GN311" s="57"/>
      <c r="GO311" s="57"/>
      <c r="GP311" s="57"/>
      <c r="GQ311" s="57"/>
      <c r="GR311" s="57"/>
      <c r="GS311" s="57"/>
      <c r="GT311" s="57"/>
      <c r="GU311" s="57"/>
      <c r="GV311" s="57"/>
      <c r="GW311" s="57"/>
      <c r="GX311" s="57"/>
    </row>
    <row r="312" spans="1:206" s="93" customFormat="1" ht="20.25" customHeight="1" x14ac:dyDescent="0.25">
      <c r="A312" s="1"/>
      <c r="B312" s="22" t="s">
        <v>466</v>
      </c>
      <c r="C312" s="20" t="s">
        <v>467</v>
      </c>
      <c r="D312" s="22" t="str">
        <f>CONCATENATE(COUNT(B312:B322)," trạm")</f>
        <v>8 trạm</v>
      </c>
      <c r="E312" s="22"/>
      <c r="F312" s="81">
        <f>+SUM(F313,F318)</f>
        <v>34</v>
      </c>
      <c r="G312" s="31"/>
      <c r="H312" s="89"/>
      <c r="I312" s="89"/>
      <c r="J312" s="89"/>
      <c r="K312" s="90"/>
      <c r="L312" s="91">
        <f>+L313+L318</f>
        <v>0</v>
      </c>
      <c r="M312" s="91">
        <f>+M313+M318</f>
        <v>5</v>
      </c>
      <c r="N312" s="91">
        <f>+N313+N318</f>
        <v>2</v>
      </c>
      <c r="O312" s="92"/>
      <c r="P312" s="92"/>
      <c r="Q312" s="91">
        <f>+Q313+Q318</f>
        <v>40610</v>
      </c>
      <c r="R312" s="92"/>
      <c r="S312" s="92"/>
    </row>
    <row r="313" spans="1:206" s="94" customFormat="1" x14ac:dyDescent="0.25">
      <c r="A313" s="1">
        <f>IF(B313&gt;0,SUM(MAX($A$10:A312),1),0)</f>
        <v>0</v>
      </c>
      <c r="B313" s="22"/>
      <c r="C313" s="20" t="s">
        <v>446</v>
      </c>
      <c r="D313" s="22" t="str">
        <f>CONCATENATE(COUNT(B312:B318)," trạm")</f>
        <v>4 trạm</v>
      </c>
      <c r="E313" s="22"/>
      <c r="F313" s="81">
        <f>+SUM(F314:F317)</f>
        <v>12</v>
      </c>
      <c r="G313" s="31"/>
      <c r="H313" s="89"/>
      <c r="I313" s="89"/>
      <c r="J313" s="89"/>
      <c r="K313" s="90"/>
      <c r="L313" s="25">
        <f>COUNTIF(H315:H317,"lớn")</f>
        <v>0</v>
      </c>
      <c r="M313" s="25">
        <f>COUNTIF(H315:H317,"vừa")</f>
        <v>2</v>
      </c>
      <c r="N313" s="25">
        <f>COUNTIF(H315:H317,"nhỏ")</f>
        <v>1</v>
      </c>
      <c r="O313" s="92"/>
      <c r="P313" s="92"/>
      <c r="Q313" s="51">
        <f>SUM(Q315:Q317)</f>
        <v>10520</v>
      </c>
      <c r="R313" s="92"/>
      <c r="S313" s="92"/>
    </row>
    <row r="314" spans="1:206" s="97" customFormat="1" x14ac:dyDescent="0.25">
      <c r="A314" s="1">
        <f ca="1">IF(B314&gt;0,SUM(MAX($A$10:A315),1),0)</f>
        <v>191</v>
      </c>
      <c r="B314" s="30">
        <v>1</v>
      </c>
      <c r="C314" s="27" t="s">
        <v>470</v>
      </c>
      <c r="D314" s="30" t="s">
        <v>471</v>
      </c>
      <c r="E314" s="30" t="s">
        <v>26</v>
      </c>
      <c r="F314" s="43">
        <v>1</v>
      </c>
      <c r="G314" s="43">
        <v>980</v>
      </c>
      <c r="H314" s="29" t="str">
        <f>IF(AND(Q314&lt;3600,Q314&gt;0),"nhỏ",IF(AND(Q314&gt;=3600,Q314&lt;72000),"vừa",IF(Q314&lt;&gt;0,"lớn",0)))</f>
        <v>nhỏ</v>
      </c>
      <c r="I314" s="28">
        <v>54</v>
      </c>
      <c r="J314" s="31"/>
      <c r="K314" s="28" t="s">
        <v>472</v>
      </c>
      <c r="L314" s="95"/>
      <c r="M314" s="96"/>
      <c r="N314" s="96"/>
      <c r="O314" s="96"/>
      <c r="P314" s="96"/>
      <c r="Q314" s="95">
        <f>F314*G314</f>
        <v>980</v>
      </c>
      <c r="R314" s="96"/>
      <c r="S314" s="96"/>
      <c r="U314" s="104"/>
    </row>
    <row r="315" spans="1:206" s="97" customFormat="1" x14ac:dyDescent="0.25">
      <c r="A315" s="1">
        <f ca="1">IF(B315&gt;0,SUM(MAX($A$10:A313),1),0)</f>
        <v>190</v>
      </c>
      <c r="B315" s="30">
        <v>2</v>
      </c>
      <c r="C315" s="27" t="s">
        <v>468</v>
      </c>
      <c r="D315" s="30" t="s">
        <v>468</v>
      </c>
      <c r="E315" s="30" t="s">
        <v>26</v>
      </c>
      <c r="F315" s="43">
        <v>5</v>
      </c>
      <c r="G315" s="43">
        <v>980</v>
      </c>
      <c r="H315" s="29" t="str">
        <f t="shared" ref="H315:H322" si="31">IF(AND(Q315&lt;3600,Q315&gt;0),"nhỏ",IF(AND(Q315&gt;=3600,Q315&lt;72000),"vừa",IF(Q315&lt;&gt;0,"lớn",0)))</f>
        <v>vừa</v>
      </c>
      <c r="I315" s="28">
        <v>366.8</v>
      </c>
      <c r="J315" s="31"/>
      <c r="K315" s="28" t="s">
        <v>469</v>
      </c>
      <c r="L315" s="95"/>
      <c r="M315" s="96"/>
      <c r="N315" s="96"/>
      <c r="O315" s="96"/>
      <c r="P315" s="96"/>
      <c r="Q315" s="95">
        <f>F315*G315</f>
        <v>4900</v>
      </c>
      <c r="R315" s="96"/>
      <c r="S315" s="96"/>
      <c r="U315" s="104"/>
    </row>
    <row r="316" spans="1:206" s="97" customFormat="1" x14ac:dyDescent="0.25">
      <c r="A316" s="1">
        <f ca="1">IF(B316&gt;0,SUM(MAX($A$10:A315),1),0)</f>
        <v>192</v>
      </c>
      <c r="B316" s="30">
        <v>3</v>
      </c>
      <c r="C316" s="27" t="s">
        <v>473</v>
      </c>
      <c r="D316" s="30" t="s">
        <v>473</v>
      </c>
      <c r="E316" s="30" t="s">
        <v>26</v>
      </c>
      <c r="F316" s="43">
        <v>5</v>
      </c>
      <c r="G316" s="43">
        <v>980</v>
      </c>
      <c r="H316" s="29" t="str">
        <f t="shared" si="31"/>
        <v>vừa</v>
      </c>
      <c r="I316" s="28">
        <v>155</v>
      </c>
      <c r="J316" s="31"/>
      <c r="K316" s="28" t="s">
        <v>474</v>
      </c>
      <c r="L316" s="95"/>
      <c r="M316" s="96"/>
      <c r="N316" s="96"/>
      <c r="O316" s="96"/>
      <c r="P316" s="96"/>
      <c r="Q316" s="95">
        <f>F316*G316</f>
        <v>4900</v>
      </c>
      <c r="R316" s="96"/>
      <c r="S316" s="96"/>
      <c r="U316" s="104"/>
    </row>
    <row r="317" spans="1:206" s="98" customFormat="1" x14ac:dyDescent="0.25">
      <c r="A317" s="1">
        <f ca="1">IF(B317&gt;0,SUM(MAX($A$10:A316),1),0)</f>
        <v>193</v>
      </c>
      <c r="B317" s="30">
        <v>4</v>
      </c>
      <c r="C317" s="27" t="s">
        <v>475</v>
      </c>
      <c r="D317" s="30" t="s">
        <v>468</v>
      </c>
      <c r="E317" s="30" t="s">
        <v>26</v>
      </c>
      <c r="F317" s="43">
        <v>1</v>
      </c>
      <c r="G317" s="43">
        <v>720</v>
      </c>
      <c r="H317" s="29" t="str">
        <f t="shared" si="31"/>
        <v>nhỏ</v>
      </c>
      <c r="I317" s="28">
        <v>49</v>
      </c>
      <c r="J317" s="31"/>
      <c r="K317" s="28" t="s">
        <v>476</v>
      </c>
      <c r="L317" s="91"/>
      <c r="M317" s="92"/>
      <c r="N317" s="92"/>
      <c r="O317" s="92"/>
      <c r="P317" s="92"/>
      <c r="Q317" s="95">
        <f>F317*G317</f>
        <v>720</v>
      </c>
      <c r="R317" s="92"/>
      <c r="S317" s="92"/>
      <c r="U317" s="105"/>
    </row>
    <row r="318" spans="1:206" s="98" customFormat="1" x14ac:dyDescent="0.25">
      <c r="A318" s="1">
        <f>IF(B318&gt;0,SUM(MAX($A$10:A317),1),0)</f>
        <v>0</v>
      </c>
      <c r="B318" s="22"/>
      <c r="C318" s="20" t="s">
        <v>457</v>
      </c>
      <c r="D318" s="22" t="str">
        <f>CONCATENATE(COUNT(B318:B322)," trạm")</f>
        <v>4 trạm</v>
      </c>
      <c r="E318" s="22"/>
      <c r="F318" s="81">
        <f>+SUM(F319:F323)</f>
        <v>22</v>
      </c>
      <c r="G318" s="31"/>
      <c r="H318" s="89"/>
      <c r="I318" s="89"/>
      <c r="J318" s="89"/>
      <c r="K318" s="90"/>
      <c r="L318" s="25">
        <f>COUNTIF(H319:H322,"lớn")</f>
        <v>0</v>
      </c>
      <c r="M318" s="25">
        <f>COUNTIF(H319:H322,"vừa")</f>
        <v>3</v>
      </c>
      <c r="N318" s="25">
        <f>COUNTIF(H319:H322,"nhỏ")</f>
        <v>1</v>
      </c>
      <c r="O318" s="92"/>
      <c r="P318" s="92"/>
      <c r="Q318" s="91">
        <f>SUM(Q319:Q322)</f>
        <v>30090</v>
      </c>
      <c r="R318" s="92"/>
      <c r="S318" s="92"/>
    </row>
    <row r="319" spans="1:206" s="97" customFormat="1" x14ac:dyDescent="0.25">
      <c r="A319" s="1">
        <f ca="1">IF(B319&gt;0,SUM(MAX($A$10:A318),1),0)</f>
        <v>194</v>
      </c>
      <c r="B319" s="26">
        <f>SUM(MAX($B$318:B318),1)</f>
        <v>1</v>
      </c>
      <c r="C319" s="27" t="s">
        <v>477</v>
      </c>
      <c r="D319" s="30" t="s">
        <v>478</v>
      </c>
      <c r="E319" s="30" t="s">
        <v>26</v>
      </c>
      <c r="F319" s="30">
        <v>6</v>
      </c>
      <c r="G319" s="43">
        <v>1950</v>
      </c>
      <c r="H319" s="29" t="str">
        <f t="shared" si="31"/>
        <v>vừa</v>
      </c>
      <c r="I319" s="29"/>
      <c r="J319" s="28">
        <v>460</v>
      </c>
      <c r="K319" s="28" t="s">
        <v>479</v>
      </c>
      <c r="L319" s="95"/>
      <c r="M319" s="96"/>
      <c r="N319" s="96"/>
      <c r="O319" s="96"/>
      <c r="P319" s="96"/>
      <c r="Q319" s="95">
        <f>F319*G319</f>
        <v>11700</v>
      </c>
      <c r="R319" s="96"/>
      <c r="S319" s="96"/>
      <c r="U319" s="104"/>
    </row>
    <row r="320" spans="1:206" s="97" customFormat="1" x14ac:dyDescent="0.25">
      <c r="A320" s="1">
        <f ca="1">IF(B320&gt;0,SUM(MAX($A$10:A319),1),0)</f>
        <v>195</v>
      </c>
      <c r="B320" s="26">
        <f>SUM(MAX($B$318:B319),1)</f>
        <v>2</v>
      </c>
      <c r="C320" s="27" t="s">
        <v>480</v>
      </c>
      <c r="D320" s="30" t="s">
        <v>478</v>
      </c>
      <c r="E320" s="30" t="s">
        <v>26</v>
      </c>
      <c r="F320" s="30">
        <v>4</v>
      </c>
      <c r="G320" s="43">
        <v>2400</v>
      </c>
      <c r="H320" s="29" t="str">
        <f t="shared" si="31"/>
        <v>vừa</v>
      </c>
      <c r="I320" s="29"/>
      <c r="J320" s="28">
        <v>217</v>
      </c>
      <c r="K320" s="28" t="s">
        <v>481</v>
      </c>
      <c r="L320" s="95"/>
      <c r="M320" s="96"/>
      <c r="N320" s="96"/>
      <c r="O320" s="96"/>
      <c r="P320" s="96"/>
      <c r="Q320" s="95">
        <f>F320*G320</f>
        <v>9600</v>
      </c>
      <c r="R320" s="96"/>
      <c r="S320" s="96"/>
      <c r="U320" s="104"/>
    </row>
    <row r="321" spans="1:19" s="97" customFormat="1" x14ac:dyDescent="0.25">
      <c r="A321" s="1">
        <f ca="1">IF(B321&gt;0,SUM(MAX($A$10:A323),1),0)</f>
        <v>197</v>
      </c>
      <c r="B321" s="26">
        <v>3</v>
      </c>
      <c r="C321" s="27" t="s">
        <v>486</v>
      </c>
      <c r="D321" s="30" t="s">
        <v>483</v>
      </c>
      <c r="E321" s="30" t="s">
        <v>484</v>
      </c>
      <c r="F321" s="30">
        <v>3</v>
      </c>
      <c r="G321" s="43">
        <v>980</v>
      </c>
      <c r="H321" s="29" t="str">
        <f t="shared" si="31"/>
        <v>nhỏ</v>
      </c>
      <c r="I321" s="29"/>
      <c r="J321" s="28">
        <v>50</v>
      </c>
      <c r="K321" s="28" t="s">
        <v>487</v>
      </c>
      <c r="L321" s="95"/>
      <c r="M321" s="96"/>
      <c r="N321" s="96"/>
      <c r="O321" s="96"/>
      <c r="P321" s="96"/>
      <c r="Q321" s="95">
        <f>F321*G321</f>
        <v>2940</v>
      </c>
      <c r="R321" s="96"/>
      <c r="S321" s="96"/>
    </row>
    <row r="322" spans="1:19" s="94" customFormat="1" x14ac:dyDescent="0.25">
      <c r="A322" s="1">
        <f ca="1">IF(B322&gt;0,SUM(MAX($A$10:A321),1),0)</f>
        <v>198</v>
      </c>
      <c r="B322" s="26">
        <v>4</v>
      </c>
      <c r="C322" s="27" t="s">
        <v>488</v>
      </c>
      <c r="D322" s="30" t="s">
        <v>483</v>
      </c>
      <c r="E322" s="30" t="s">
        <v>484</v>
      </c>
      <c r="F322" s="30">
        <v>3</v>
      </c>
      <c r="G322" s="43">
        <v>1950</v>
      </c>
      <c r="H322" s="29" t="str">
        <f t="shared" si="31"/>
        <v>vừa</v>
      </c>
      <c r="I322" s="29"/>
      <c r="J322" s="28">
        <v>235</v>
      </c>
      <c r="K322" s="28" t="s">
        <v>489</v>
      </c>
      <c r="L322" s="91"/>
      <c r="M322" s="92"/>
      <c r="N322" s="92"/>
      <c r="O322" s="92"/>
      <c r="P322" s="92"/>
      <c r="Q322" s="95">
        <f>F322*G322</f>
        <v>5850</v>
      </c>
      <c r="R322" s="92"/>
      <c r="S322" s="92"/>
    </row>
    <row r="323" spans="1:19" s="97" customFormat="1" x14ac:dyDescent="0.25">
      <c r="A323" s="1">
        <f ca="1">IF(B323&gt;0,SUM(MAX($A$10:A320),1),0)</f>
        <v>196</v>
      </c>
      <c r="B323" s="26">
        <v>5</v>
      </c>
      <c r="C323" s="27" t="s">
        <v>482</v>
      </c>
      <c r="D323" s="30" t="s">
        <v>483</v>
      </c>
      <c r="E323" s="30" t="s">
        <v>484</v>
      </c>
      <c r="F323" s="30">
        <v>6</v>
      </c>
      <c r="G323" s="43">
        <v>2400</v>
      </c>
      <c r="H323" s="29" t="str">
        <f>IF(AND(Q323&lt;3600,Q323&gt;0),"nhỏ",IF(AND(Q323&gt;=3600,Q323&lt;72000),"vừa",IF(Q323&lt;&gt;0,"lớn",0)))</f>
        <v>vừa</v>
      </c>
      <c r="I323" s="29"/>
      <c r="J323" s="28">
        <v>425</v>
      </c>
      <c r="K323" s="28" t="s">
        <v>485</v>
      </c>
      <c r="L323" s="95"/>
      <c r="M323" s="96"/>
      <c r="N323" s="96"/>
      <c r="O323" s="96"/>
      <c r="P323" s="96"/>
      <c r="Q323" s="95">
        <f>F323*G323</f>
        <v>14400</v>
      </c>
      <c r="R323" s="96"/>
      <c r="S323" s="96"/>
    </row>
    <row r="324" spans="1:19" s="93" customFormat="1" x14ac:dyDescent="0.25">
      <c r="A324" s="1"/>
      <c r="B324" s="22" t="s">
        <v>490</v>
      </c>
      <c r="C324" s="20" t="s">
        <v>491</v>
      </c>
      <c r="D324" s="22" t="str">
        <f>CONCATENATE(COUNT(B324:B326)," trạm")</f>
        <v>1 trạm</v>
      </c>
      <c r="E324" s="22"/>
      <c r="F324" s="81">
        <f>+SUM(F325)</f>
        <v>10</v>
      </c>
      <c r="G324" s="31"/>
      <c r="H324" s="89"/>
      <c r="I324" s="89"/>
      <c r="J324" s="89"/>
      <c r="K324" s="90"/>
      <c r="L324" s="91">
        <f>L326</f>
        <v>1</v>
      </c>
      <c r="M324" s="92"/>
      <c r="N324" s="92"/>
      <c r="O324" s="92"/>
      <c r="P324" s="92"/>
      <c r="Q324" s="91">
        <f>Q326</f>
        <v>432000</v>
      </c>
      <c r="R324" s="92"/>
      <c r="S324" s="92"/>
    </row>
    <row r="325" spans="1:19" s="98" customFormat="1" x14ac:dyDescent="0.25">
      <c r="A325" s="1">
        <f>IF(B325&gt;0,SUM(MAX($A$10:A324),1),0)</f>
        <v>0</v>
      </c>
      <c r="B325" s="22"/>
      <c r="C325" s="20" t="s">
        <v>457</v>
      </c>
      <c r="D325" s="22" t="str">
        <f>CONCATENATE(COUNT(B325:B326)," trạm")</f>
        <v>1 trạm</v>
      </c>
      <c r="E325" s="22"/>
      <c r="F325" s="81">
        <f>+SUM(F326:F326)</f>
        <v>10</v>
      </c>
      <c r="G325" s="31"/>
      <c r="H325" s="89"/>
      <c r="I325" s="89"/>
      <c r="J325" s="89"/>
      <c r="K325" s="90"/>
      <c r="L325" s="91"/>
      <c r="M325" s="92"/>
      <c r="N325" s="92"/>
      <c r="O325" s="92"/>
      <c r="P325" s="92"/>
      <c r="Q325" s="95"/>
      <c r="R325" s="92"/>
      <c r="S325" s="92"/>
    </row>
    <row r="326" spans="1:19" s="97" customFormat="1" x14ac:dyDescent="0.25">
      <c r="A326" s="1">
        <f ca="1">IF(B326&gt;0,SUM(MAX($A$10:A325),1),0)</f>
        <v>199</v>
      </c>
      <c r="B326" s="26">
        <f>SUM(MAX($B$325:B325),1)</f>
        <v>1</v>
      </c>
      <c r="C326" s="27" t="s">
        <v>492</v>
      </c>
      <c r="D326" s="30"/>
      <c r="E326" s="30" t="s">
        <v>344</v>
      </c>
      <c r="F326" s="30">
        <v>10</v>
      </c>
      <c r="G326" s="31">
        <v>43200</v>
      </c>
      <c r="H326" s="29" t="str">
        <f>IF(AND(Q326&lt;3600,Q326&gt;0),"nhỏ",IF(AND(Q326&gt;=3600,Q326&lt;72000),"vừa",IF(Q326&lt;&gt;0,"lớn",0)))</f>
        <v>lớn</v>
      </c>
      <c r="I326" s="29"/>
      <c r="J326" s="31">
        <v>6300</v>
      </c>
      <c r="K326" s="31" t="s">
        <v>493</v>
      </c>
      <c r="L326" s="25">
        <f>COUNTIF(H326,"lớn")</f>
        <v>1</v>
      </c>
      <c r="M326" s="25">
        <f>COUNTIF(H327:H331,"vừa")</f>
        <v>0</v>
      </c>
      <c r="N326" s="25">
        <f>COUNTIF(H327:H331,"nhỏ")</f>
        <v>0</v>
      </c>
      <c r="O326" s="96"/>
      <c r="P326" s="96"/>
      <c r="Q326" s="95">
        <f>F326*G326</f>
        <v>432000</v>
      </c>
      <c r="R326" s="96"/>
      <c r="S326" s="96"/>
    </row>
    <row r="327" spans="1:19" s="2" customFormat="1" x14ac:dyDescent="0.25">
      <c r="A327" s="18"/>
      <c r="B327" s="22"/>
      <c r="C327" s="20" t="str">
        <f>"Tổng "&amp;COUNT(B10:B326)&amp;" trạm"</f>
        <v>Tổng 213 trạm</v>
      </c>
      <c r="D327" s="22"/>
      <c r="E327" s="22"/>
      <c r="F327" s="99">
        <f>+F324+F312+F300+F227+F78+F30+F10</f>
        <v>1011</v>
      </c>
      <c r="G327" s="100"/>
      <c r="H327" s="21"/>
      <c r="I327" s="21"/>
      <c r="J327" s="21"/>
      <c r="K327" s="22"/>
      <c r="L327" s="23"/>
      <c r="M327" s="24"/>
      <c r="N327" s="24"/>
      <c r="O327" s="24"/>
      <c r="P327" s="24"/>
      <c r="Q327" s="23"/>
      <c r="R327" s="24"/>
      <c r="S327" s="24"/>
    </row>
    <row r="65516" spans="17:17" x14ac:dyDescent="0.25">
      <c r="Q65516" s="101">
        <f>F65516*G65516</f>
        <v>0</v>
      </c>
    </row>
  </sheetData>
  <mergeCells count="469">
    <mergeCell ref="J308:J309"/>
    <mergeCell ref="K308:K309"/>
    <mergeCell ref="H41:H42"/>
    <mergeCell ref="H44:H45"/>
    <mergeCell ref="E128:E129"/>
    <mergeCell ref="B308:B309"/>
    <mergeCell ref="C308:C309"/>
    <mergeCell ref="D308:D309"/>
    <mergeCell ref="E308:E309"/>
    <mergeCell ref="H308:H309"/>
    <mergeCell ref="I308:I309"/>
    <mergeCell ref="B302:B304"/>
    <mergeCell ref="D302:D304"/>
    <mergeCell ref="E302:E304"/>
    <mergeCell ref="H302:H304"/>
    <mergeCell ref="C303:C304"/>
    <mergeCell ref="I303:I304"/>
    <mergeCell ref="J284:J285"/>
    <mergeCell ref="B287:B289"/>
    <mergeCell ref="D287:D289"/>
    <mergeCell ref="E287:E289"/>
    <mergeCell ref="J282:J283"/>
    <mergeCell ref="B278:B279"/>
    <mergeCell ref="C278:C279"/>
    <mergeCell ref="D278:D279"/>
    <mergeCell ref="E278:E279"/>
    <mergeCell ref="H278:H279"/>
    <mergeCell ref="I278:I279"/>
    <mergeCell ref="H287:H289"/>
    <mergeCell ref="I287:I289"/>
    <mergeCell ref="J287:J289"/>
    <mergeCell ref="C287:C288"/>
    <mergeCell ref="B284:B285"/>
    <mergeCell ref="C284:C285"/>
    <mergeCell ref="D284:D285"/>
    <mergeCell ref="E284:E285"/>
    <mergeCell ref="H284:H285"/>
    <mergeCell ref="I284:I285"/>
    <mergeCell ref="H246:H247"/>
    <mergeCell ref="J261:J262"/>
    <mergeCell ref="K261:K262"/>
    <mergeCell ref="B293:B295"/>
    <mergeCell ref="C293:C294"/>
    <mergeCell ref="D293:D294"/>
    <mergeCell ref="E293:E294"/>
    <mergeCell ref="H293:H294"/>
    <mergeCell ref="I293:I294"/>
    <mergeCell ref="J293:J294"/>
    <mergeCell ref="K293:K295"/>
    <mergeCell ref="B261:B262"/>
    <mergeCell ref="C261:C262"/>
    <mergeCell ref="D261:D262"/>
    <mergeCell ref="E261:E262"/>
    <mergeCell ref="H261:H262"/>
    <mergeCell ref="I261:I262"/>
    <mergeCell ref="J278:J279"/>
    <mergeCell ref="B282:B283"/>
    <mergeCell ref="C282:C283"/>
    <mergeCell ref="D282:D283"/>
    <mergeCell ref="E282:E283"/>
    <mergeCell ref="H282:H283"/>
    <mergeCell ref="I282:I283"/>
    <mergeCell ref="I224:I225"/>
    <mergeCell ref="B255:B257"/>
    <mergeCell ref="D255:D257"/>
    <mergeCell ref="E255:E257"/>
    <mergeCell ref="H255:H257"/>
    <mergeCell ref="J255:J257"/>
    <mergeCell ref="J234:J235"/>
    <mergeCell ref="K234:K235"/>
    <mergeCell ref="B259:B260"/>
    <mergeCell ref="D259:D260"/>
    <mergeCell ref="E259:E260"/>
    <mergeCell ref="H259:H260"/>
    <mergeCell ref="I259:I260"/>
    <mergeCell ref="J259:J260"/>
    <mergeCell ref="B234:B235"/>
    <mergeCell ref="C234:C235"/>
    <mergeCell ref="D234:D235"/>
    <mergeCell ref="E234:E235"/>
    <mergeCell ref="H234:H235"/>
    <mergeCell ref="I234:I235"/>
    <mergeCell ref="B246:B247"/>
    <mergeCell ref="C246:C247"/>
    <mergeCell ref="D246:D247"/>
    <mergeCell ref="E246:E247"/>
    <mergeCell ref="B215:B216"/>
    <mergeCell ref="C215:C216"/>
    <mergeCell ref="D215:D216"/>
    <mergeCell ref="E215:E216"/>
    <mergeCell ref="H215:H216"/>
    <mergeCell ref="I215:I216"/>
    <mergeCell ref="I246:I247"/>
    <mergeCell ref="B179:B180"/>
    <mergeCell ref="C179:C180"/>
    <mergeCell ref="D179:D180"/>
    <mergeCell ref="E179:E180"/>
    <mergeCell ref="H179:H180"/>
    <mergeCell ref="I179:I180"/>
    <mergeCell ref="B221:B222"/>
    <mergeCell ref="C221:C222"/>
    <mergeCell ref="D221:D222"/>
    <mergeCell ref="E221:E222"/>
    <mergeCell ref="H221:H222"/>
    <mergeCell ref="I221:I222"/>
    <mergeCell ref="B224:B225"/>
    <mergeCell ref="C224:C225"/>
    <mergeCell ref="D224:D225"/>
    <mergeCell ref="E224:E225"/>
    <mergeCell ref="H224:H225"/>
    <mergeCell ref="J224:J225"/>
    <mergeCell ref="J221:J222"/>
    <mergeCell ref="J209:J210"/>
    <mergeCell ref="B213:B214"/>
    <mergeCell ref="C213:C214"/>
    <mergeCell ref="D213:D214"/>
    <mergeCell ref="E213:E214"/>
    <mergeCell ref="H213:H214"/>
    <mergeCell ref="I213:I214"/>
    <mergeCell ref="J213:J214"/>
    <mergeCell ref="B209:B210"/>
    <mergeCell ref="C209:C210"/>
    <mergeCell ref="D209:D210"/>
    <mergeCell ref="E209:E210"/>
    <mergeCell ref="H209:H210"/>
    <mergeCell ref="I209:I210"/>
    <mergeCell ref="J215:J216"/>
    <mergeCell ref="B217:B218"/>
    <mergeCell ref="C217:C218"/>
    <mergeCell ref="D217:D218"/>
    <mergeCell ref="E217:E218"/>
    <mergeCell ref="H217:H218"/>
    <mergeCell ref="I217:I218"/>
    <mergeCell ref="J217:J218"/>
    <mergeCell ref="J199:J200"/>
    <mergeCell ref="K199:K200"/>
    <mergeCell ref="B201:B202"/>
    <mergeCell ref="C201:C202"/>
    <mergeCell ref="D201:D202"/>
    <mergeCell ref="E201:E202"/>
    <mergeCell ref="H201:H202"/>
    <mergeCell ref="I201:I202"/>
    <mergeCell ref="J201:J202"/>
    <mergeCell ref="K201:K202"/>
    <mergeCell ref="B199:B200"/>
    <mergeCell ref="C199:C200"/>
    <mergeCell ref="D199:D200"/>
    <mergeCell ref="E199:E200"/>
    <mergeCell ref="H199:H200"/>
    <mergeCell ref="I199:I200"/>
    <mergeCell ref="J175:J176"/>
    <mergeCell ref="K175:K176"/>
    <mergeCell ref="B197:B198"/>
    <mergeCell ref="C197:C198"/>
    <mergeCell ref="D197:D198"/>
    <mergeCell ref="E197:E198"/>
    <mergeCell ref="H197:H198"/>
    <mergeCell ref="I197:I198"/>
    <mergeCell ref="J197:J198"/>
    <mergeCell ref="B175:B176"/>
    <mergeCell ref="C175:C176"/>
    <mergeCell ref="D175:D176"/>
    <mergeCell ref="E175:E176"/>
    <mergeCell ref="H175:H176"/>
    <mergeCell ref="I175:I176"/>
    <mergeCell ref="J179:J180"/>
    <mergeCell ref="J191:J192"/>
    <mergeCell ref="K191:K192"/>
    <mergeCell ref="B193:B194"/>
    <mergeCell ref="C193:C194"/>
    <mergeCell ref="D193:D194"/>
    <mergeCell ref="E193:E194"/>
    <mergeCell ref="I193:I194"/>
    <mergeCell ref="J193:J194"/>
    <mergeCell ref="B173:B174"/>
    <mergeCell ref="D173:D174"/>
    <mergeCell ref="E173:E174"/>
    <mergeCell ref="H173:H174"/>
    <mergeCell ref="D162:D164"/>
    <mergeCell ref="E162:E164"/>
    <mergeCell ref="B151:B152"/>
    <mergeCell ref="C151:C152"/>
    <mergeCell ref="D151:D152"/>
    <mergeCell ref="E151:E152"/>
    <mergeCell ref="H151:H152"/>
    <mergeCell ref="C167:C168"/>
    <mergeCell ref="D167:D168"/>
    <mergeCell ref="E167:E168"/>
    <mergeCell ref="H167:H168"/>
    <mergeCell ref="C160:C161"/>
    <mergeCell ref="K142:K143"/>
    <mergeCell ref="B136:B137"/>
    <mergeCell ref="D136:D137"/>
    <mergeCell ref="E136:E137"/>
    <mergeCell ref="H136:H137"/>
    <mergeCell ref="K136:K137"/>
    <mergeCell ref="B142:B143"/>
    <mergeCell ref="I167:I168"/>
    <mergeCell ref="J151:J152"/>
    <mergeCell ref="K151:K152"/>
    <mergeCell ref="I151:I152"/>
    <mergeCell ref="J167:J168"/>
    <mergeCell ref="K167:K168"/>
    <mergeCell ref="J160:J161"/>
    <mergeCell ref="K160:K161"/>
    <mergeCell ref="K138:K139"/>
    <mergeCell ref="B162:B164"/>
    <mergeCell ref="C162:C163"/>
    <mergeCell ref="B147:B148"/>
    <mergeCell ref="C147:C148"/>
    <mergeCell ref="D147:D148"/>
    <mergeCell ref="E147:E148"/>
    <mergeCell ref="H147:H148"/>
    <mergeCell ref="B160:B161"/>
    <mergeCell ref="K147:K148"/>
    <mergeCell ref="B167:B168"/>
    <mergeCell ref="B131:B132"/>
    <mergeCell ref="D131:D132"/>
    <mergeCell ref="E131:E132"/>
    <mergeCell ref="B128:B129"/>
    <mergeCell ref="D128:D129"/>
    <mergeCell ref="B133:B135"/>
    <mergeCell ref="C133:C134"/>
    <mergeCell ref="D133:D135"/>
    <mergeCell ref="E133:E135"/>
    <mergeCell ref="B145:B146"/>
    <mergeCell ref="D145:D146"/>
    <mergeCell ref="E145:E146"/>
    <mergeCell ref="H145:H146"/>
    <mergeCell ref="K145:K146"/>
    <mergeCell ref="D138:D139"/>
    <mergeCell ref="H133:H135"/>
    <mergeCell ref="I133:I135"/>
    <mergeCell ref="J133:J135"/>
    <mergeCell ref="K133:K135"/>
    <mergeCell ref="B138:B139"/>
    <mergeCell ref="C138:C139"/>
    <mergeCell ref="E138:E139"/>
    <mergeCell ref="K193:K194"/>
    <mergeCell ref="B191:B192"/>
    <mergeCell ref="C191:C192"/>
    <mergeCell ref="D191:D192"/>
    <mergeCell ref="E191:E192"/>
    <mergeCell ref="H191:H192"/>
    <mergeCell ref="I191:I192"/>
    <mergeCell ref="B189:B190"/>
    <mergeCell ref="C189:C190"/>
    <mergeCell ref="D189:D190"/>
    <mergeCell ref="E189:E190"/>
    <mergeCell ref="H189:H190"/>
    <mergeCell ref="I189:I190"/>
    <mergeCell ref="J189:J190"/>
    <mergeCell ref="K189:K190"/>
    <mergeCell ref="D123:D125"/>
    <mergeCell ref="E123:E125"/>
    <mergeCell ref="H123:H125"/>
    <mergeCell ref="I123:I124"/>
    <mergeCell ref="E157:E158"/>
    <mergeCell ref="H162:H164"/>
    <mergeCell ref="I162:I163"/>
    <mergeCell ref="J162:J163"/>
    <mergeCell ref="D142:D143"/>
    <mergeCell ref="D160:D161"/>
    <mergeCell ref="E160:E161"/>
    <mergeCell ref="E142:E143"/>
    <mergeCell ref="H142:H143"/>
    <mergeCell ref="I147:I148"/>
    <mergeCell ref="J147:J148"/>
    <mergeCell ref="H138:H139"/>
    <mergeCell ref="I138:I139"/>
    <mergeCell ref="J138:J139"/>
    <mergeCell ref="I120:I121"/>
    <mergeCell ref="J120:J121"/>
    <mergeCell ref="K120:K122"/>
    <mergeCell ref="B184:B185"/>
    <mergeCell ref="D184:D185"/>
    <mergeCell ref="E184:E185"/>
    <mergeCell ref="H184:H185"/>
    <mergeCell ref="H128:H129"/>
    <mergeCell ref="H131:H132"/>
    <mergeCell ref="K162:K164"/>
    <mergeCell ref="B157:B158"/>
    <mergeCell ref="D157:D158"/>
    <mergeCell ref="H157:H158"/>
    <mergeCell ref="K157:K158"/>
    <mergeCell ref="C120:C121"/>
    <mergeCell ref="D120:D122"/>
    <mergeCell ref="E120:E122"/>
    <mergeCell ref="H120:H122"/>
    <mergeCell ref="I160:I161"/>
    <mergeCell ref="J123:J124"/>
    <mergeCell ref="K123:K125"/>
    <mergeCell ref="I142:I143"/>
    <mergeCell ref="J142:J143"/>
    <mergeCell ref="C123:C124"/>
    <mergeCell ref="B112:B113"/>
    <mergeCell ref="C112:C113"/>
    <mergeCell ref="D112:D113"/>
    <mergeCell ref="E112:E113"/>
    <mergeCell ref="H112:H113"/>
    <mergeCell ref="I112:I113"/>
    <mergeCell ref="J112:J113"/>
    <mergeCell ref="K112:K113"/>
    <mergeCell ref="B115:B116"/>
    <mergeCell ref="C115:C116"/>
    <mergeCell ref="D115:D116"/>
    <mergeCell ref="E115:E116"/>
    <mergeCell ref="H115:H116"/>
    <mergeCell ref="K105:K106"/>
    <mergeCell ref="B110:B111"/>
    <mergeCell ref="C110:C111"/>
    <mergeCell ref="D110:D111"/>
    <mergeCell ref="E110:E111"/>
    <mergeCell ref="H110:H111"/>
    <mergeCell ref="I110:I111"/>
    <mergeCell ref="J110:J111"/>
    <mergeCell ref="K110:K111"/>
    <mergeCell ref="B105:B106"/>
    <mergeCell ref="C105:C106"/>
    <mergeCell ref="D105:D106"/>
    <mergeCell ref="E105:E106"/>
    <mergeCell ref="H105:H106"/>
    <mergeCell ref="I105:I106"/>
    <mergeCell ref="J105:J106"/>
    <mergeCell ref="J49:J50"/>
    <mergeCell ref="B74:B76"/>
    <mergeCell ref="C74:C76"/>
    <mergeCell ref="D74:D76"/>
    <mergeCell ref="E74:E76"/>
    <mergeCell ref="H74:H76"/>
    <mergeCell ref="I74:I76"/>
    <mergeCell ref="I62:I63"/>
    <mergeCell ref="J62:J63"/>
    <mergeCell ref="I60:I61"/>
    <mergeCell ref="J60:J61"/>
    <mergeCell ref="C58:C59"/>
    <mergeCell ref="D58:D59"/>
    <mergeCell ref="D56:D57"/>
    <mergeCell ref="E56:E57"/>
    <mergeCell ref="H56:H57"/>
    <mergeCell ref="D60:D61"/>
    <mergeCell ref="E60:E61"/>
    <mergeCell ref="H60:H61"/>
    <mergeCell ref="E58:E59"/>
    <mergeCell ref="I58:I59"/>
    <mergeCell ref="J58:J59"/>
    <mergeCell ref="D54:D55"/>
    <mergeCell ref="E54:E55"/>
    <mergeCell ref="K49:K50"/>
    <mergeCell ref="B92:B93"/>
    <mergeCell ref="C92:C93"/>
    <mergeCell ref="D92:D93"/>
    <mergeCell ref="E92:E93"/>
    <mergeCell ref="I92:I93"/>
    <mergeCell ref="K70:K71"/>
    <mergeCell ref="K72:K73"/>
    <mergeCell ref="B49:B50"/>
    <mergeCell ref="C49:C50"/>
    <mergeCell ref="D49:D50"/>
    <mergeCell ref="E49:E50"/>
    <mergeCell ref="H49:H50"/>
    <mergeCell ref="I49:I50"/>
    <mergeCell ref="J74:J76"/>
    <mergeCell ref="K74:K76"/>
    <mergeCell ref="C67:C68"/>
    <mergeCell ref="D67:D69"/>
    <mergeCell ref="E67:E69"/>
    <mergeCell ref="H67:H69"/>
    <mergeCell ref="I67:I69"/>
    <mergeCell ref="J67:J69"/>
    <mergeCell ref="K67:K69"/>
    <mergeCell ref="K64:K66"/>
    <mergeCell ref="K56:K57"/>
    <mergeCell ref="B187:B188"/>
    <mergeCell ref="C187:C188"/>
    <mergeCell ref="D187:D188"/>
    <mergeCell ref="E187:E188"/>
    <mergeCell ref="H187:H188"/>
    <mergeCell ref="I187:I188"/>
    <mergeCell ref="J187:J188"/>
    <mergeCell ref="K187:K188"/>
    <mergeCell ref="I70:I71"/>
    <mergeCell ref="J70:J71"/>
    <mergeCell ref="B72:B73"/>
    <mergeCell ref="C72:C73"/>
    <mergeCell ref="D72:D73"/>
    <mergeCell ref="E72:E73"/>
    <mergeCell ref="H72:H73"/>
    <mergeCell ref="I72:I73"/>
    <mergeCell ref="J72:J73"/>
    <mergeCell ref="B120:B121"/>
    <mergeCell ref="B123:B124"/>
    <mergeCell ref="B88:B89"/>
    <mergeCell ref="K58:K59"/>
    <mergeCell ref="B60:B61"/>
    <mergeCell ref="C60:C61"/>
    <mergeCell ref="H54:H55"/>
    <mergeCell ref="I54:I55"/>
    <mergeCell ref="J54:J55"/>
    <mergeCell ref="K54:K55"/>
    <mergeCell ref="C51:C52"/>
    <mergeCell ref="D51:D53"/>
    <mergeCell ref="E51:E53"/>
    <mergeCell ref="H51:H53"/>
    <mergeCell ref="I51:I52"/>
    <mergeCell ref="B117:B118"/>
    <mergeCell ref="C117:C118"/>
    <mergeCell ref="D117:D118"/>
    <mergeCell ref="E117:E118"/>
    <mergeCell ref="H117:H118"/>
    <mergeCell ref="I117:I118"/>
    <mergeCell ref="J117:J118"/>
    <mergeCell ref="K117:K118"/>
    <mergeCell ref="K60:K61"/>
    <mergeCell ref="B62:B63"/>
    <mergeCell ref="C62:C63"/>
    <mergeCell ref="D62:D63"/>
    <mergeCell ref="E62:E63"/>
    <mergeCell ref="H62:H63"/>
    <mergeCell ref="K62:K63"/>
    <mergeCell ref="C64:C65"/>
    <mergeCell ref="D64:D66"/>
    <mergeCell ref="E64:E66"/>
    <mergeCell ref="H64:H66"/>
    <mergeCell ref="I64:I66"/>
    <mergeCell ref="J64:J66"/>
    <mergeCell ref="C88:C89"/>
    <mergeCell ref="D88:D89"/>
    <mergeCell ref="E88:E89"/>
    <mergeCell ref="K22:K23"/>
    <mergeCell ref="B100:B101"/>
    <mergeCell ref="C100:C101"/>
    <mergeCell ref="D100:D101"/>
    <mergeCell ref="E100:E101"/>
    <mergeCell ref="I22:I23"/>
    <mergeCell ref="C22:C23"/>
    <mergeCell ref="D22:D24"/>
    <mergeCell ref="E22:E23"/>
    <mergeCell ref="H22:H24"/>
    <mergeCell ref="J22:J23"/>
    <mergeCell ref="B22:B23"/>
    <mergeCell ref="B51:B52"/>
    <mergeCell ref="B64:B65"/>
    <mergeCell ref="B67:B68"/>
    <mergeCell ref="E44:E45"/>
    <mergeCell ref="B70:B71"/>
    <mergeCell ref="C70:C71"/>
    <mergeCell ref="D70:D71"/>
    <mergeCell ref="E70:E71"/>
    <mergeCell ref="H70:H71"/>
    <mergeCell ref="B58:B59"/>
    <mergeCell ref="J51:J52"/>
    <mergeCell ref="K51:K53"/>
    <mergeCell ref="B1:E1"/>
    <mergeCell ref="F1:K1"/>
    <mergeCell ref="B2:E2"/>
    <mergeCell ref="F2:K2"/>
    <mergeCell ref="B3:E3"/>
    <mergeCell ref="B5:K5"/>
    <mergeCell ref="B6:K6"/>
    <mergeCell ref="B8:B9"/>
    <mergeCell ref="C8:C9"/>
    <mergeCell ref="D8:D9"/>
    <mergeCell ref="E8:E9"/>
    <mergeCell ref="F8:F9"/>
    <mergeCell ref="G8:G9"/>
    <mergeCell ref="H8:H9"/>
    <mergeCell ref="I8:J8"/>
    <mergeCell ref="K8:K9"/>
  </mergeCells>
  <printOptions horizontalCentered="1"/>
  <pageMargins left="0.51181102362204722" right="0.31496062992125984" top="0.55118110236220474" bottom="0.35433070866141736" header="0.31496062992125984" footer="0.31496062992125984"/>
  <pageSetup paperSize="9" scale="7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93A2-BE3F-459E-AB8B-E02D7FC5F49D}">
  <sheetPr>
    <tabColor rgb="FFFF0000"/>
    <pageSetUpPr fitToPage="1"/>
  </sheetPr>
  <dimension ref="A1:GX65427"/>
  <sheetViews>
    <sheetView view="pageBreakPreview" topLeftCell="B206" zoomScale="85" zoomScaleNormal="100" zoomScaleSheetLayoutView="85" workbookViewId="0">
      <selection activeCell="I232" sqref="I232"/>
    </sheetView>
  </sheetViews>
  <sheetFormatPr defaultRowHeight="16.5" x14ac:dyDescent="0.25"/>
  <cols>
    <col min="1" max="1" width="0" style="1" hidden="1" customWidth="1"/>
    <col min="2" max="2" width="5.75" style="8" customWidth="1"/>
    <col min="3" max="3" width="23.625" style="9" customWidth="1"/>
    <col min="4" max="4" width="13.25" style="8" bestFit="1" customWidth="1"/>
    <col min="5" max="5" width="20.625" style="8" customWidth="1"/>
    <col min="6" max="6" width="7.75" style="8" customWidth="1"/>
    <col min="7" max="7" width="8.875" style="8" customWidth="1"/>
    <col min="8" max="8" width="7.875" style="10" customWidth="1"/>
    <col min="9" max="10" width="8.75" style="10" customWidth="1"/>
    <col min="11" max="11" width="17.125" style="8" customWidth="1"/>
    <col min="12" max="12" width="9" style="1" hidden="1" customWidth="1"/>
    <col min="13" max="16" width="9" style="3" hidden="1" customWidth="1"/>
    <col min="17" max="17" width="9" style="1" hidden="1" customWidth="1"/>
    <col min="18" max="19" width="9" style="3" hidden="1" customWidth="1"/>
    <col min="20" max="20" width="9" style="3"/>
    <col min="21" max="21" width="9" style="1"/>
    <col min="22" max="22" width="15.125" style="3" hidden="1" customWidth="1"/>
    <col min="23" max="24" width="9" style="3" hidden="1" customWidth="1"/>
    <col min="25" max="25" width="27.625" style="3" hidden="1" customWidth="1"/>
    <col min="26" max="35" width="0" style="3" hidden="1" customWidth="1"/>
    <col min="36" max="256" width="9" style="3"/>
    <col min="257" max="257" width="0" style="3" hidden="1" customWidth="1"/>
    <col min="258" max="258" width="5.75" style="3" customWidth="1"/>
    <col min="259" max="259" width="21.625" style="3" customWidth="1"/>
    <col min="260" max="260" width="17.5" style="3" customWidth="1"/>
    <col min="261" max="261" width="19.125" style="3" customWidth="1"/>
    <col min="262" max="262" width="7.75" style="3" customWidth="1"/>
    <col min="263" max="263" width="8.875" style="3" customWidth="1"/>
    <col min="264" max="264" width="7.875" style="3" customWidth="1"/>
    <col min="265" max="266" width="8.75" style="3" customWidth="1"/>
    <col min="267" max="267" width="17.125" style="3" customWidth="1"/>
    <col min="268" max="281" width="0" style="3" hidden="1" customWidth="1"/>
    <col min="282" max="512" width="9" style="3"/>
    <col min="513" max="513" width="0" style="3" hidden="1" customWidth="1"/>
    <col min="514" max="514" width="5.75" style="3" customWidth="1"/>
    <col min="515" max="515" width="21.625" style="3" customWidth="1"/>
    <col min="516" max="516" width="17.5" style="3" customWidth="1"/>
    <col min="517" max="517" width="19.125" style="3" customWidth="1"/>
    <col min="518" max="518" width="7.75" style="3" customWidth="1"/>
    <col min="519" max="519" width="8.875" style="3" customWidth="1"/>
    <col min="520" max="520" width="7.875" style="3" customWidth="1"/>
    <col min="521" max="522" width="8.75" style="3" customWidth="1"/>
    <col min="523" max="523" width="17.125" style="3" customWidth="1"/>
    <col min="524" max="537" width="0" style="3" hidden="1" customWidth="1"/>
    <col min="538" max="768" width="9" style="3"/>
    <col min="769" max="769" width="0" style="3" hidden="1" customWidth="1"/>
    <col min="770" max="770" width="5.75" style="3" customWidth="1"/>
    <col min="771" max="771" width="21.625" style="3" customWidth="1"/>
    <col min="772" max="772" width="17.5" style="3" customWidth="1"/>
    <col min="773" max="773" width="19.125" style="3" customWidth="1"/>
    <col min="774" max="774" width="7.75" style="3" customWidth="1"/>
    <col min="775" max="775" width="8.875" style="3" customWidth="1"/>
    <col min="776" max="776" width="7.875" style="3" customWidth="1"/>
    <col min="777" max="778" width="8.75" style="3" customWidth="1"/>
    <col min="779" max="779" width="17.125" style="3" customWidth="1"/>
    <col min="780" max="793" width="0" style="3" hidden="1" customWidth="1"/>
    <col min="794" max="1024" width="9" style="3"/>
    <col min="1025" max="1025" width="0" style="3" hidden="1" customWidth="1"/>
    <col min="1026" max="1026" width="5.75" style="3" customWidth="1"/>
    <col min="1027" max="1027" width="21.625" style="3" customWidth="1"/>
    <col min="1028" max="1028" width="17.5" style="3" customWidth="1"/>
    <col min="1029" max="1029" width="19.125" style="3" customWidth="1"/>
    <col min="1030" max="1030" width="7.75" style="3" customWidth="1"/>
    <col min="1031" max="1031" width="8.875" style="3" customWidth="1"/>
    <col min="1032" max="1032" width="7.875" style="3" customWidth="1"/>
    <col min="1033" max="1034" width="8.75" style="3" customWidth="1"/>
    <col min="1035" max="1035" width="17.125" style="3" customWidth="1"/>
    <col min="1036" max="1049" width="0" style="3" hidden="1" customWidth="1"/>
    <col min="1050" max="1280" width="9" style="3"/>
    <col min="1281" max="1281" width="0" style="3" hidden="1" customWidth="1"/>
    <col min="1282" max="1282" width="5.75" style="3" customWidth="1"/>
    <col min="1283" max="1283" width="21.625" style="3" customWidth="1"/>
    <col min="1284" max="1284" width="17.5" style="3" customWidth="1"/>
    <col min="1285" max="1285" width="19.125" style="3" customWidth="1"/>
    <col min="1286" max="1286" width="7.75" style="3" customWidth="1"/>
    <col min="1287" max="1287" width="8.875" style="3" customWidth="1"/>
    <col min="1288" max="1288" width="7.875" style="3" customWidth="1"/>
    <col min="1289" max="1290" width="8.75" style="3" customWidth="1"/>
    <col min="1291" max="1291" width="17.125" style="3" customWidth="1"/>
    <col min="1292" max="1305" width="0" style="3" hidden="1" customWidth="1"/>
    <col min="1306" max="1536" width="9" style="3"/>
    <col min="1537" max="1537" width="0" style="3" hidden="1" customWidth="1"/>
    <col min="1538" max="1538" width="5.75" style="3" customWidth="1"/>
    <col min="1539" max="1539" width="21.625" style="3" customWidth="1"/>
    <col min="1540" max="1540" width="17.5" style="3" customWidth="1"/>
    <col min="1541" max="1541" width="19.125" style="3" customWidth="1"/>
    <col min="1542" max="1542" width="7.75" style="3" customWidth="1"/>
    <col min="1543" max="1543" width="8.875" style="3" customWidth="1"/>
    <col min="1544" max="1544" width="7.875" style="3" customWidth="1"/>
    <col min="1545" max="1546" width="8.75" style="3" customWidth="1"/>
    <col min="1547" max="1547" width="17.125" style="3" customWidth="1"/>
    <col min="1548" max="1561" width="0" style="3" hidden="1" customWidth="1"/>
    <col min="1562" max="1792" width="9" style="3"/>
    <col min="1793" max="1793" width="0" style="3" hidden="1" customWidth="1"/>
    <col min="1794" max="1794" width="5.75" style="3" customWidth="1"/>
    <col min="1795" max="1795" width="21.625" style="3" customWidth="1"/>
    <col min="1796" max="1796" width="17.5" style="3" customWidth="1"/>
    <col min="1797" max="1797" width="19.125" style="3" customWidth="1"/>
    <col min="1798" max="1798" width="7.75" style="3" customWidth="1"/>
    <col min="1799" max="1799" width="8.875" style="3" customWidth="1"/>
    <col min="1800" max="1800" width="7.875" style="3" customWidth="1"/>
    <col min="1801" max="1802" width="8.75" style="3" customWidth="1"/>
    <col min="1803" max="1803" width="17.125" style="3" customWidth="1"/>
    <col min="1804" max="1817" width="0" style="3" hidden="1" customWidth="1"/>
    <col min="1818" max="2048" width="9" style="3"/>
    <col min="2049" max="2049" width="0" style="3" hidden="1" customWidth="1"/>
    <col min="2050" max="2050" width="5.75" style="3" customWidth="1"/>
    <col min="2051" max="2051" width="21.625" style="3" customWidth="1"/>
    <col min="2052" max="2052" width="17.5" style="3" customWidth="1"/>
    <col min="2053" max="2053" width="19.125" style="3" customWidth="1"/>
    <col min="2054" max="2054" width="7.75" style="3" customWidth="1"/>
    <col min="2055" max="2055" width="8.875" style="3" customWidth="1"/>
    <col min="2056" max="2056" width="7.875" style="3" customWidth="1"/>
    <col min="2057" max="2058" width="8.75" style="3" customWidth="1"/>
    <col min="2059" max="2059" width="17.125" style="3" customWidth="1"/>
    <col min="2060" max="2073" width="0" style="3" hidden="1" customWidth="1"/>
    <col min="2074" max="2304" width="9" style="3"/>
    <col min="2305" max="2305" width="0" style="3" hidden="1" customWidth="1"/>
    <col min="2306" max="2306" width="5.75" style="3" customWidth="1"/>
    <col min="2307" max="2307" width="21.625" style="3" customWidth="1"/>
    <col min="2308" max="2308" width="17.5" style="3" customWidth="1"/>
    <col min="2309" max="2309" width="19.125" style="3" customWidth="1"/>
    <col min="2310" max="2310" width="7.75" style="3" customWidth="1"/>
    <col min="2311" max="2311" width="8.875" style="3" customWidth="1"/>
    <col min="2312" max="2312" width="7.875" style="3" customWidth="1"/>
    <col min="2313" max="2314" width="8.75" style="3" customWidth="1"/>
    <col min="2315" max="2315" width="17.125" style="3" customWidth="1"/>
    <col min="2316" max="2329" width="0" style="3" hidden="1" customWidth="1"/>
    <col min="2330" max="2560" width="9" style="3"/>
    <col min="2561" max="2561" width="0" style="3" hidden="1" customWidth="1"/>
    <col min="2562" max="2562" width="5.75" style="3" customWidth="1"/>
    <col min="2563" max="2563" width="21.625" style="3" customWidth="1"/>
    <col min="2564" max="2564" width="17.5" style="3" customWidth="1"/>
    <col min="2565" max="2565" width="19.125" style="3" customWidth="1"/>
    <col min="2566" max="2566" width="7.75" style="3" customWidth="1"/>
    <col min="2567" max="2567" width="8.875" style="3" customWidth="1"/>
    <col min="2568" max="2568" width="7.875" style="3" customWidth="1"/>
    <col min="2569" max="2570" width="8.75" style="3" customWidth="1"/>
    <col min="2571" max="2571" width="17.125" style="3" customWidth="1"/>
    <col min="2572" max="2585" width="0" style="3" hidden="1" customWidth="1"/>
    <col min="2586" max="2816" width="9" style="3"/>
    <col min="2817" max="2817" width="0" style="3" hidden="1" customWidth="1"/>
    <col min="2818" max="2818" width="5.75" style="3" customWidth="1"/>
    <col min="2819" max="2819" width="21.625" style="3" customWidth="1"/>
    <col min="2820" max="2820" width="17.5" style="3" customWidth="1"/>
    <col min="2821" max="2821" width="19.125" style="3" customWidth="1"/>
    <col min="2822" max="2822" width="7.75" style="3" customWidth="1"/>
    <col min="2823" max="2823" width="8.875" style="3" customWidth="1"/>
    <col min="2824" max="2824" width="7.875" style="3" customWidth="1"/>
    <col min="2825" max="2826" width="8.75" style="3" customWidth="1"/>
    <col min="2827" max="2827" width="17.125" style="3" customWidth="1"/>
    <col min="2828" max="2841" width="0" style="3" hidden="1" customWidth="1"/>
    <col min="2842" max="3072" width="9" style="3"/>
    <col min="3073" max="3073" width="0" style="3" hidden="1" customWidth="1"/>
    <col min="3074" max="3074" width="5.75" style="3" customWidth="1"/>
    <col min="3075" max="3075" width="21.625" style="3" customWidth="1"/>
    <col min="3076" max="3076" width="17.5" style="3" customWidth="1"/>
    <col min="3077" max="3077" width="19.125" style="3" customWidth="1"/>
    <col min="3078" max="3078" width="7.75" style="3" customWidth="1"/>
    <col min="3079" max="3079" width="8.875" style="3" customWidth="1"/>
    <col min="3080" max="3080" width="7.875" style="3" customWidth="1"/>
    <col min="3081" max="3082" width="8.75" style="3" customWidth="1"/>
    <col min="3083" max="3083" width="17.125" style="3" customWidth="1"/>
    <col min="3084" max="3097" width="0" style="3" hidden="1" customWidth="1"/>
    <col min="3098" max="3328" width="9" style="3"/>
    <col min="3329" max="3329" width="0" style="3" hidden="1" customWidth="1"/>
    <col min="3330" max="3330" width="5.75" style="3" customWidth="1"/>
    <col min="3331" max="3331" width="21.625" style="3" customWidth="1"/>
    <col min="3332" max="3332" width="17.5" style="3" customWidth="1"/>
    <col min="3333" max="3333" width="19.125" style="3" customWidth="1"/>
    <col min="3334" max="3334" width="7.75" style="3" customWidth="1"/>
    <col min="3335" max="3335" width="8.875" style="3" customWidth="1"/>
    <col min="3336" max="3336" width="7.875" style="3" customWidth="1"/>
    <col min="3337" max="3338" width="8.75" style="3" customWidth="1"/>
    <col min="3339" max="3339" width="17.125" style="3" customWidth="1"/>
    <col min="3340" max="3353" width="0" style="3" hidden="1" customWidth="1"/>
    <col min="3354" max="3584" width="9" style="3"/>
    <col min="3585" max="3585" width="0" style="3" hidden="1" customWidth="1"/>
    <col min="3586" max="3586" width="5.75" style="3" customWidth="1"/>
    <col min="3587" max="3587" width="21.625" style="3" customWidth="1"/>
    <col min="3588" max="3588" width="17.5" style="3" customWidth="1"/>
    <col min="3589" max="3589" width="19.125" style="3" customWidth="1"/>
    <col min="3590" max="3590" width="7.75" style="3" customWidth="1"/>
    <col min="3591" max="3591" width="8.875" style="3" customWidth="1"/>
    <col min="3592" max="3592" width="7.875" style="3" customWidth="1"/>
    <col min="3593" max="3594" width="8.75" style="3" customWidth="1"/>
    <col min="3595" max="3595" width="17.125" style="3" customWidth="1"/>
    <col min="3596" max="3609" width="0" style="3" hidden="1" customWidth="1"/>
    <col min="3610" max="3840" width="9" style="3"/>
    <col min="3841" max="3841" width="0" style="3" hidden="1" customWidth="1"/>
    <col min="3842" max="3842" width="5.75" style="3" customWidth="1"/>
    <col min="3843" max="3843" width="21.625" style="3" customWidth="1"/>
    <col min="3844" max="3844" width="17.5" style="3" customWidth="1"/>
    <col min="3845" max="3845" width="19.125" style="3" customWidth="1"/>
    <col min="3846" max="3846" width="7.75" style="3" customWidth="1"/>
    <col min="3847" max="3847" width="8.875" style="3" customWidth="1"/>
    <col min="3848" max="3848" width="7.875" style="3" customWidth="1"/>
    <col min="3849" max="3850" width="8.75" style="3" customWidth="1"/>
    <col min="3851" max="3851" width="17.125" style="3" customWidth="1"/>
    <col min="3852" max="3865" width="0" style="3" hidden="1" customWidth="1"/>
    <col min="3866" max="4096" width="9" style="3"/>
    <col min="4097" max="4097" width="0" style="3" hidden="1" customWidth="1"/>
    <col min="4098" max="4098" width="5.75" style="3" customWidth="1"/>
    <col min="4099" max="4099" width="21.625" style="3" customWidth="1"/>
    <col min="4100" max="4100" width="17.5" style="3" customWidth="1"/>
    <col min="4101" max="4101" width="19.125" style="3" customWidth="1"/>
    <col min="4102" max="4102" width="7.75" style="3" customWidth="1"/>
    <col min="4103" max="4103" width="8.875" style="3" customWidth="1"/>
    <col min="4104" max="4104" width="7.875" style="3" customWidth="1"/>
    <col min="4105" max="4106" width="8.75" style="3" customWidth="1"/>
    <col min="4107" max="4107" width="17.125" style="3" customWidth="1"/>
    <col min="4108" max="4121" width="0" style="3" hidden="1" customWidth="1"/>
    <col min="4122" max="4352" width="9" style="3"/>
    <col min="4353" max="4353" width="0" style="3" hidden="1" customWidth="1"/>
    <col min="4354" max="4354" width="5.75" style="3" customWidth="1"/>
    <col min="4355" max="4355" width="21.625" style="3" customWidth="1"/>
    <col min="4356" max="4356" width="17.5" style="3" customWidth="1"/>
    <col min="4357" max="4357" width="19.125" style="3" customWidth="1"/>
    <col min="4358" max="4358" width="7.75" style="3" customWidth="1"/>
    <col min="4359" max="4359" width="8.875" style="3" customWidth="1"/>
    <col min="4360" max="4360" width="7.875" style="3" customWidth="1"/>
    <col min="4361" max="4362" width="8.75" style="3" customWidth="1"/>
    <col min="4363" max="4363" width="17.125" style="3" customWidth="1"/>
    <col min="4364" max="4377" width="0" style="3" hidden="1" customWidth="1"/>
    <col min="4378" max="4608" width="9" style="3"/>
    <col min="4609" max="4609" width="0" style="3" hidden="1" customWidth="1"/>
    <col min="4610" max="4610" width="5.75" style="3" customWidth="1"/>
    <col min="4611" max="4611" width="21.625" style="3" customWidth="1"/>
    <col min="4612" max="4612" width="17.5" style="3" customWidth="1"/>
    <col min="4613" max="4613" width="19.125" style="3" customWidth="1"/>
    <col min="4614" max="4614" width="7.75" style="3" customWidth="1"/>
    <col min="4615" max="4615" width="8.875" style="3" customWidth="1"/>
    <col min="4616" max="4616" width="7.875" style="3" customWidth="1"/>
    <col min="4617" max="4618" width="8.75" style="3" customWidth="1"/>
    <col min="4619" max="4619" width="17.125" style="3" customWidth="1"/>
    <col min="4620" max="4633" width="0" style="3" hidden="1" customWidth="1"/>
    <col min="4634" max="4864" width="9" style="3"/>
    <col min="4865" max="4865" width="0" style="3" hidden="1" customWidth="1"/>
    <col min="4866" max="4866" width="5.75" style="3" customWidth="1"/>
    <col min="4867" max="4867" width="21.625" style="3" customWidth="1"/>
    <col min="4868" max="4868" width="17.5" style="3" customWidth="1"/>
    <col min="4869" max="4869" width="19.125" style="3" customWidth="1"/>
    <col min="4870" max="4870" width="7.75" style="3" customWidth="1"/>
    <col min="4871" max="4871" width="8.875" style="3" customWidth="1"/>
    <col min="4872" max="4872" width="7.875" style="3" customWidth="1"/>
    <col min="4873" max="4874" width="8.75" style="3" customWidth="1"/>
    <col min="4875" max="4875" width="17.125" style="3" customWidth="1"/>
    <col min="4876" max="4889" width="0" style="3" hidden="1" customWidth="1"/>
    <col min="4890" max="5120" width="9" style="3"/>
    <col min="5121" max="5121" width="0" style="3" hidden="1" customWidth="1"/>
    <col min="5122" max="5122" width="5.75" style="3" customWidth="1"/>
    <col min="5123" max="5123" width="21.625" style="3" customWidth="1"/>
    <col min="5124" max="5124" width="17.5" style="3" customWidth="1"/>
    <col min="5125" max="5125" width="19.125" style="3" customWidth="1"/>
    <col min="5126" max="5126" width="7.75" style="3" customWidth="1"/>
    <col min="5127" max="5127" width="8.875" style="3" customWidth="1"/>
    <col min="5128" max="5128" width="7.875" style="3" customWidth="1"/>
    <col min="5129" max="5130" width="8.75" style="3" customWidth="1"/>
    <col min="5131" max="5131" width="17.125" style="3" customWidth="1"/>
    <col min="5132" max="5145" width="0" style="3" hidden="1" customWidth="1"/>
    <col min="5146" max="5376" width="9" style="3"/>
    <col min="5377" max="5377" width="0" style="3" hidden="1" customWidth="1"/>
    <col min="5378" max="5378" width="5.75" style="3" customWidth="1"/>
    <col min="5379" max="5379" width="21.625" style="3" customWidth="1"/>
    <col min="5380" max="5380" width="17.5" style="3" customWidth="1"/>
    <col min="5381" max="5381" width="19.125" style="3" customWidth="1"/>
    <col min="5382" max="5382" width="7.75" style="3" customWidth="1"/>
    <col min="5383" max="5383" width="8.875" style="3" customWidth="1"/>
    <col min="5384" max="5384" width="7.875" style="3" customWidth="1"/>
    <col min="5385" max="5386" width="8.75" style="3" customWidth="1"/>
    <col min="5387" max="5387" width="17.125" style="3" customWidth="1"/>
    <col min="5388" max="5401" width="0" style="3" hidden="1" customWidth="1"/>
    <col min="5402" max="5632" width="9" style="3"/>
    <col min="5633" max="5633" width="0" style="3" hidden="1" customWidth="1"/>
    <col min="5634" max="5634" width="5.75" style="3" customWidth="1"/>
    <col min="5635" max="5635" width="21.625" style="3" customWidth="1"/>
    <col min="5636" max="5636" width="17.5" style="3" customWidth="1"/>
    <col min="5637" max="5637" width="19.125" style="3" customWidth="1"/>
    <col min="5638" max="5638" width="7.75" style="3" customWidth="1"/>
    <col min="5639" max="5639" width="8.875" style="3" customWidth="1"/>
    <col min="5640" max="5640" width="7.875" style="3" customWidth="1"/>
    <col min="5641" max="5642" width="8.75" style="3" customWidth="1"/>
    <col min="5643" max="5643" width="17.125" style="3" customWidth="1"/>
    <col min="5644" max="5657" width="0" style="3" hidden="1" customWidth="1"/>
    <col min="5658" max="5888" width="9" style="3"/>
    <col min="5889" max="5889" width="0" style="3" hidden="1" customWidth="1"/>
    <col min="5890" max="5890" width="5.75" style="3" customWidth="1"/>
    <col min="5891" max="5891" width="21.625" style="3" customWidth="1"/>
    <col min="5892" max="5892" width="17.5" style="3" customWidth="1"/>
    <col min="5893" max="5893" width="19.125" style="3" customWidth="1"/>
    <col min="5894" max="5894" width="7.75" style="3" customWidth="1"/>
    <col min="5895" max="5895" width="8.875" style="3" customWidth="1"/>
    <col min="5896" max="5896" width="7.875" style="3" customWidth="1"/>
    <col min="5897" max="5898" width="8.75" style="3" customWidth="1"/>
    <col min="5899" max="5899" width="17.125" style="3" customWidth="1"/>
    <col min="5900" max="5913" width="0" style="3" hidden="1" customWidth="1"/>
    <col min="5914" max="6144" width="9" style="3"/>
    <col min="6145" max="6145" width="0" style="3" hidden="1" customWidth="1"/>
    <col min="6146" max="6146" width="5.75" style="3" customWidth="1"/>
    <col min="6147" max="6147" width="21.625" style="3" customWidth="1"/>
    <col min="6148" max="6148" width="17.5" style="3" customWidth="1"/>
    <col min="6149" max="6149" width="19.125" style="3" customWidth="1"/>
    <col min="6150" max="6150" width="7.75" style="3" customWidth="1"/>
    <col min="6151" max="6151" width="8.875" style="3" customWidth="1"/>
    <col min="6152" max="6152" width="7.875" style="3" customWidth="1"/>
    <col min="6153" max="6154" width="8.75" style="3" customWidth="1"/>
    <col min="6155" max="6155" width="17.125" style="3" customWidth="1"/>
    <col min="6156" max="6169" width="0" style="3" hidden="1" customWidth="1"/>
    <col min="6170" max="6400" width="9" style="3"/>
    <col min="6401" max="6401" width="0" style="3" hidden="1" customWidth="1"/>
    <col min="6402" max="6402" width="5.75" style="3" customWidth="1"/>
    <col min="6403" max="6403" width="21.625" style="3" customWidth="1"/>
    <col min="6404" max="6404" width="17.5" style="3" customWidth="1"/>
    <col min="6405" max="6405" width="19.125" style="3" customWidth="1"/>
    <col min="6406" max="6406" width="7.75" style="3" customWidth="1"/>
    <col min="6407" max="6407" width="8.875" style="3" customWidth="1"/>
    <col min="6408" max="6408" width="7.875" style="3" customWidth="1"/>
    <col min="6409" max="6410" width="8.75" style="3" customWidth="1"/>
    <col min="6411" max="6411" width="17.125" style="3" customWidth="1"/>
    <col min="6412" max="6425" width="0" style="3" hidden="1" customWidth="1"/>
    <col min="6426" max="6656" width="9" style="3"/>
    <col min="6657" max="6657" width="0" style="3" hidden="1" customWidth="1"/>
    <col min="6658" max="6658" width="5.75" style="3" customWidth="1"/>
    <col min="6659" max="6659" width="21.625" style="3" customWidth="1"/>
    <col min="6660" max="6660" width="17.5" style="3" customWidth="1"/>
    <col min="6661" max="6661" width="19.125" style="3" customWidth="1"/>
    <col min="6662" max="6662" width="7.75" style="3" customWidth="1"/>
    <col min="6663" max="6663" width="8.875" style="3" customWidth="1"/>
    <col min="6664" max="6664" width="7.875" style="3" customWidth="1"/>
    <col min="6665" max="6666" width="8.75" style="3" customWidth="1"/>
    <col min="6667" max="6667" width="17.125" style="3" customWidth="1"/>
    <col min="6668" max="6681" width="0" style="3" hidden="1" customWidth="1"/>
    <col min="6682" max="6912" width="9" style="3"/>
    <col min="6913" max="6913" width="0" style="3" hidden="1" customWidth="1"/>
    <col min="6914" max="6914" width="5.75" style="3" customWidth="1"/>
    <col min="6915" max="6915" width="21.625" style="3" customWidth="1"/>
    <col min="6916" max="6916" width="17.5" style="3" customWidth="1"/>
    <col min="6917" max="6917" width="19.125" style="3" customWidth="1"/>
    <col min="6918" max="6918" width="7.75" style="3" customWidth="1"/>
    <col min="6919" max="6919" width="8.875" style="3" customWidth="1"/>
    <col min="6920" max="6920" width="7.875" style="3" customWidth="1"/>
    <col min="6921" max="6922" width="8.75" style="3" customWidth="1"/>
    <col min="6923" max="6923" width="17.125" style="3" customWidth="1"/>
    <col min="6924" max="6937" width="0" style="3" hidden="1" customWidth="1"/>
    <col min="6938" max="7168" width="9" style="3"/>
    <col min="7169" max="7169" width="0" style="3" hidden="1" customWidth="1"/>
    <col min="7170" max="7170" width="5.75" style="3" customWidth="1"/>
    <col min="7171" max="7171" width="21.625" style="3" customWidth="1"/>
    <col min="7172" max="7172" width="17.5" style="3" customWidth="1"/>
    <col min="7173" max="7173" width="19.125" style="3" customWidth="1"/>
    <col min="7174" max="7174" width="7.75" style="3" customWidth="1"/>
    <col min="7175" max="7175" width="8.875" style="3" customWidth="1"/>
    <col min="7176" max="7176" width="7.875" style="3" customWidth="1"/>
    <col min="7177" max="7178" width="8.75" style="3" customWidth="1"/>
    <col min="7179" max="7179" width="17.125" style="3" customWidth="1"/>
    <col min="7180" max="7193" width="0" style="3" hidden="1" customWidth="1"/>
    <col min="7194" max="7424" width="9" style="3"/>
    <col min="7425" max="7425" width="0" style="3" hidden="1" customWidth="1"/>
    <col min="7426" max="7426" width="5.75" style="3" customWidth="1"/>
    <col min="7427" max="7427" width="21.625" style="3" customWidth="1"/>
    <col min="7428" max="7428" width="17.5" style="3" customWidth="1"/>
    <col min="7429" max="7429" width="19.125" style="3" customWidth="1"/>
    <col min="7430" max="7430" width="7.75" style="3" customWidth="1"/>
    <col min="7431" max="7431" width="8.875" style="3" customWidth="1"/>
    <col min="7432" max="7432" width="7.875" style="3" customWidth="1"/>
    <col min="7433" max="7434" width="8.75" style="3" customWidth="1"/>
    <col min="7435" max="7435" width="17.125" style="3" customWidth="1"/>
    <col min="7436" max="7449" width="0" style="3" hidden="1" customWidth="1"/>
    <col min="7450" max="7680" width="9" style="3"/>
    <col min="7681" max="7681" width="0" style="3" hidden="1" customWidth="1"/>
    <col min="7682" max="7682" width="5.75" style="3" customWidth="1"/>
    <col min="7683" max="7683" width="21.625" style="3" customWidth="1"/>
    <col min="7684" max="7684" width="17.5" style="3" customWidth="1"/>
    <col min="7685" max="7685" width="19.125" style="3" customWidth="1"/>
    <col min="7686" max="7686" width="7.75" style="3" customWidth="1"/>
    <col min="7687" max="7687" width="8.875" style="3" customWidth="1"/>
    <col min="7688" max="7688" width="7.875" style="3" customWidth="1"/>
    <col min="7689" max="7690" width="8.75" style="3" customWidth="1"/>
    <col min="7691" max="7691" width="17.125" style="3" customWidth="1"/>
    <col min="7692" max="7705" width="0" style="3" hidden="1" customWidth="1"/>
    <col min="7706" max="7936" width="9" style="3"/>
    <col min="7937" max="7937" width="0" style="3" hidden="1" customWidth="1"/>
    <col min="7938" max="7938" width="5.75" style="3" customWidth="1"/>
    <col min="7939" max="7939" width="21.625" style="3" customWidth="1"/>
    <col min="7940" max="7940" width="17.5" style="3" customWidth="1"/>
    <col min="7941" max="7941" width="19.125" style="3" customWidth="1"/>
    <col min="7942" max="7942" width="7.75" style="3" customWidth="1"/>
    <col min="7943" max="7943" width="8.875" style="3" customWidth="1"/>
    <col min="7944" max="7944" width="7.875" style="3" customWidth="1"/>
    <col min="7945" max="7946" width="8.75" style="3" customWidth="1"/>
    <col min="7947" max="7947" width="17.125" style="3" customWidth="1"/>
    <col min="7948" max="7961" width="0" style="3" hidden="1" customWidth="1"/>
    <col min="7962" max="8192" width="9" style="3"/>
    <col min="8193" max="8193" width="0" style="3" hidden="1" customWidth="1"/>
    <col min="8194" max="8194" width="5.75" style="3" customWidth="1"/>
    <col min="8195" max="8195" width="21.625" style="3" customWidth="1"/>
    <col min="8196" max="8196" width="17.5" style="3" customWidth="1"/>
    <col min="8197" max="8197" width="19.125" style="3" customWidth="1"/>
    <col min="8198" max="8198" width="7.75" style="3" customWidth="1"/>
    <col min="8199" max="8199" width="8.875" style="3" customWidth="1"/>
    <col min="8200" max="8200" width="7.875" style="3" customWidth="1"/>
    <col min="8201" max="8202" width="8.75" style="3" customWidth="1"/>
    <col min="8203" max="8203" width="17.125" style="3" customWidth="1"/>
    <col min="8204" max="8217" width="0" style="3" hidden="1" customWidth="1"/>
    <col min="8218" max="8448" width="9" style="3"/>
    <col min="8449" max="8449" width="0" style="3" hidden="1" customWidth="1"/>
    <col min="8450" max="8450" width="5.75" style="3" customWidth="1"/>
    <col min="8451" max="8451" width="21.625" style="3" customWidth="1"/>
    <col min="8452" max="8452" width="17.5" style="3" customWidth="1"/>
    <col min="8453" max="8453" width="19.125" style="3" customWidth="1"/>
    <col min="8454" max="8454" width="7.75" style="3" customWidth="1"/>
    <col min="8455" max="8455" width="8.875" style="3" customWidth="1"/>
    <col min="8456" max="8456" width="7.875" style="3" customWidth="1"/>
    <col min="8457" max="8458" width="8.75" style="3" customWidth="1"/>
    <col min="8459" max="8459" width="17.125" style="3" customWidth="1"/>
    <col min="8460" max="8473" width="0" style="3" hidden="1" customWidth="1"/>
    <col min="8474" max="8704" width="9" style="3"/>
    <col min="8705" max="8705" width="0" style="3" hidden="1" customWidth="1"/>
    <col min="8706" max="8706" width="5.75" style="3" customWidth="1"/>
    <col min="8707" max="8707" width="21.625" style="3" customWidth="1"/>
    <col min="8708" max="8708" width="17.5" style="3" customWidth="1"/>
    <col min="8709" max="8709" width="19.125" style="3" customWidth="1"/>
    <col min="8710" max="8710" width="7.75" style="3" customWidth="1"/>
    <col min="8711" max="8711" width="8.875" style="3" customWidth="1"/>
    <col min="8712" max="8712" width="7.875" style="3" customWidth="1"/>
    <col min="8713" max="8714" width="8.75" style="3" customWidth="1"/>
    <col min="8715" max="8715" width="17.125" style="3" customWidth="1"/>
    <col min="8716" max="8729" width="0" style="3" hidden="1" customWidth="1"/>
    <col min="8730" max="8960" width="9" style="3"/>
    <col min="8961" max="8961" width="0" style="3" hidden="1" customWidth="1"/>
    <col min="8962" max="8962" width="5.75" style="3" customWidth="1"/>
    <col min="8963" max="8963" width="21.625" style="3" customWidth="1"/>
    <col min="8964" max="8964" width="17.5" style="3" customWidth="1"/>
    <col min="8965" max="8965" width="19.125" style="3" customWidth="1"/>
    <col min="8966" max="8966" width="7.75" style="3" customWidth="1"/>
    <col min="8967" max="8967" width="8.875" style="3" customWidth="1"/>
    <col min="8968" max="8968" width="7.875" style="3" customWidth="1"/>
    <col min="8969" max="8970" width="8.75" style="3" customWidth="1"/>
    <col min="8971" max="8971" width="17.125" style="3" customWidth="1"/>
    <col min="8972" max="8985" width="0" style="3" hidden="1" customWidth="1"/>
    <col min="8986" max="9216" width="9" style="3"/>
    <col min="9217" max="9217" width="0" style="3" hidden="1" customWidth="1"/>
    <col min="9218" max="9218" width="5.75" style="3" customWidth="1"/>
    <col min="9219" max="9219" width="21.625" style="3" customWidth="1"/>
    <col min="9220" max="9220" width="17.5" style="3" customWidth="1"/>
    <col min="9221" max="9221" width="19.125" style="3" customWidth="1"/>
    <col min="9222" max="9222" width="7.75" style="3" customWidth="1"/>
    <col min="9223" max="9223" width="8.875" style="3" customWidth="1"/>
    <col min="9224" max="9224" width="7.875" style="3" customWidth="1"/>
    <col min="9225" max="9226" width="8.75" style="3" customWidth="1"/>
    <col min="9227" max="9227" width="17.125" style="3" customWidth="1"/>
    <col min="9228" max="9241" width="0" style="3" hidden="1" customWidth="1"/>
    <col min="9242" max="9472" width="9" style="3"/>
    <col min="9473" max="9473" width="0" style="3" hidden="1" customWidth="1"/>
    <col min="9474" max="9474" width="5.75" style="3" customWidth="1"/>
    <col min="9475" max="9475" width="21.625" style="3" customWidth="1"/>
    <col min="9476" max="9476" width="17.5" style="3" customWidth="1"/>
    <col min="9477" max="9477" width="19.125" style="3" customWidth="1"/>
    <col min="9478" max="9478" width="7.75" style="3" customWidth="1"/>
    <col min="9479" max="9479" width="8.875" style="3" customWidth="1"/>
    <col min="9480" max="9480" width="7.875" style="3" customWidth="1"/>
    <col min="9481" max="9482" width="8.75" style="3" customWidth="1"/>
    <col min="9483" max="9483" width="17.125" style="3" customWidth="1"/>
    <col min="9484" max="9497" width="0" style="3" hidden="1" customWidth="1"/>
    <col min="9498" max="9728" width="9" style="3"/>
    <col min="9729" max="9729" width="0" style="3" hidden="1" customWidth="1"/>
    <col min="9730" max="9730" width="5.75" style="3" customWidth="1"/>
    <col min="9731" max="9731" width="21.625" style="3" customWidth="1"/>
    <col min="9732" max="9732" width="17.5" style="3" customWidth="1"/>
    <col min="9733" max="9733" width="19.125" style="3" customWidth="1"/>
    <col min="9734" max="9734" width="7.75" style="3" customWidth="1"/>
    <col min="9735" max="9735" width="8.875" style="3" customWidth="1"/>
    <col min="9736" max="9736" width="7.875" style="3" customWidth="1"/>
    <col min="9737" max="9738" width="8.75" style="3" customWidth="1"/>
    <col min="9739" max="9739" width="17.125" style="3" customWidth="1"/>
    <col min="9740" max="9753" width="0" style="3" hidden="1" customWidth="1"/>
    <col min="9754" max="9984" width="9" style="3"/>
    <col min="9985" max="9985" width="0" style="3" hidden="1" customWidth="1"/>
    <col min="9986" max="9986" width="5.75" style="3" customWidth="1"/>
    <col min="9987" max="9987" width="21.625" style="3" customWidth="1"/>
    <col min="9988" max="9988" width="17.5" style="3" customWidth="1"/>
    <col min="9989" max="9989" width="19.125" style="3" customWidth="1"/>
    <col min="9990" max="9990" width="7.75" style="3" customWidth="1"/>
    <col min="9991" max="9991" width="8.875" style="3" customWidth="1"/>
    <col min="9992" max="9992" width="7.875" style="3" customWidth="1"/>
    <col min="9993" max="9994" width="8.75" style="3" customWidth="1"/>
    <col min="9995" max="9995" width="17.125" style="3" customWidth="1"/>
    <col min="9996" max="10009" width="0" style="3" hidden="1" customWidth="1"/>
    <col min="10010" max="10240" width="9" style="3"/>
    <col min="10241" max="10241" width="0" style="3" hidden="1" customWidth="1"/>
    <col min="10242" max="10242" width="5.75" style="3" customWidth="1"/>
    <col min="10243" max="10243" width="21.625" style="3" customWidth="1"/>
    <col min="10244" max="10244" width="17.5" style="3" customWidth="1"/>
    <col min="10245" max="10245" width="19.125" style="3" customWidth="1"/>
    <col min="10246" max="10246" width="7.75" style="3" customWidth="1"/>
    <col min="10247" max="10247" width="8.875" style="3" customWidth="1"/>
    <col min="10248" max="10248" width="7.875" style="3" customWidth="1"/>
    <col min="10249" max="10250" width="8.75" style="3" customWidth="1"/>
    <col min="10251" max="10251" width="17.125" style="3" customWidth="1"/>
    <col min="10252" max="10265" width="0" style="3" hidden="1" customWidth="1"/>
    <col min="10266" max="10496" width="9" style="3"/>
    <col min="10497" max="10497" width="0" style="3" hidden="1" customWidth="1"/>
    <col min="10498" max="10498" width="5.75" style="3" customWidth="1"/>
    <col min="10499" max="10499" width="21.625" style="3" customWidth="1"/>
    <col min="10500" max="10500" width="17.5" style="3" customWidth="1"/>
    <col min="10501" max="10501" width="19.125" style="3" customWidth="1"/>
    <col min="10502" max="10502" width="7.75" style="3" customWidth="1"/>
    <col min="10503" max="10503" width="8.875" style="3" customWidth="1"/>
    <col min="10504" max="10504" width="7.875" style="3" customWidth="1"/>
    <col min="10505" max="10506" width="8.75" style="3" customWidth="1"/>
    <col min="10507" max="10507" width="17.125" style="3" customWidth="1"/>
    <col min="10508" max="10521" width="0" style="3" hidden="1" customWidth="1"/>
    <col min="10522" max="10752" width="9" style="3"/>
    <col min="10753" max="10753" width="0" style="3" hidden="1" customWidth="1"/>
    <col min="10754" max="10754" width="5.75" style="3" customWidth="1"/>
    <col min="10755" max="10755" width="21.625" style="3" customWidth="1"/>
    <col min="10756" max="10756" width="17.5" style="3" customWidth="1"/>
    <col min="10757" max="10757" width="19.125" style="3" customWidth="1"/>
    <col min="10758" max="10758" width="7.75" style="3" customWidth="1"/>
    <col min="10759" max="10759" width="8.875" style="3" customWidth="1"/>
    <col min="10760" max="10760" width="7.875" style="3" customWidth="1"/>
    <col min="10761" max="10762" width="8.75" style="3" customWidth="1"/>
    <col min="10763" max="10763" width="17.125" style="3" customWidth="1"/>
    <col min="10764" max="10777" width="0" style="3" hidden="1" customWidth="1"/>
    <col min="10778" max="11008" width="9" style="3"/>
    <col min="11009" max="11009" width="0" style="3" hidden="1" customWidth="1"/>
    <col min="11010" max="11010" width="5.75" style="3" customWidth="1"/>
    <col min="11011" max="11011" width="21.625" style="3" customWidth="1"/>
    <col min="11012" max="11012" width="17.5" style="3" customWidth="1"/>
    <col min="11013" max="11013" width="19.125" style="3" customWidth="1"/>
    <col min="11014" max="11014" width="7.75" style="3" customWidth="1"/>
    <col min="11015" max="11015" width="8.875" style="3" customWidth="1"/>
    <col min="11016" max="11016" width="7.875" style="3" customWidth="1"/>
    <col min="11017" max="11018" width="8.75" style="3" customWidth="1"/>
    <col min="11019" max="11019" width="17.125" style="3" customWidth="1"/>
    <col min="11020" max="11033" width="0" style="3" hidden="1" customWidth="1"/>
    <col min="11034" max="11264" width="9" style="3"/>
    <col min="11265" max="11265" width="0" style="3" hidden="1" customWidth="1"/>
    <col min="11266" max="11266" width="5.75" style="3" customWidth="1"/>
    <col min="11267" max="11267" width="21.625" style="3" customWidth="1"/>
    <col min="11268" max="11268" width="17.5" style="3" customWidth="1"/>
    <col min="11269" max="11269" width="19.125" style="3" customWidth="1"/>
    <col min="11270" max="11270" width="7.75" style="3" customWidth="1"/>
    <col min="11271" max="11271" width="8.875" style="3" customWidth="1"/>
    <col min="11272" max="11272" width="7.875" style="3" customWidth="1"/>
    <col min="11273" max="11274" width="8.75" style="3" customWidth="1"/>
    <col min="11275" max="11275" width="17.125" style="3" customWidth="1"/>
    <col min="11276" max="11289" width="0" style="3" hidden="1" customWidth="1"/>
    <col min="11290" max="11520" width="9" style="3"/>
    <col min="11521" max="11521" width="0" style="3" hidden="1" customWidth="1"/>
    <col min="11522" max="11522" width="5.75" style="3" customWidth="1"/>
    <col min="11523" max="11523" width="21.625" style="3" customWidth="1"/>
    <col min="11524" max="11524" width="17.5" style="3" customWidth="1"/>
    <col min="11525" max="11525" width="19.125" style="3" customWidth="1"/>
    <col min="11526" max="11526" width="7.75" style="3" customWidth="1"/>
    <col min="11527" max="11527" width="8.875" style="3" customWidth="1"/>
    <col min="11528" max="11528" width="7.875" style="3" customWidth="1"/>
    <col min="11529" max="11530" width="8.75" style="3" customWidth="1"/>
    <col min="11531" max="11531" width="17.125" style="3" customWidth="1"/>
    <col min="11532" max="11545" width="0" style="3" hidden="1" customWidth="1"/>
    <col min="11546" max="11776" width="9" style="3"/>
    <col min="11777" max="11777" width="0" style="3" hidden="1" customWidth="1"/>
    <col min="11778" max="11778" width="5.75" style="3" customWidth="1"/>
    <col min="11779" max="11779" width="21.625" style="3" customWidth="1"/>
    <col min="11780" max="11780" width="17.5" style="3" customWidth="1"/>
    <col min="11781" max="11781" width="19.125" style="3" customWidth="1"/>
    <col min="11782" max="11782" width="7.75" style="3" customWidth="1"/>
    <col min="11783" max="11783" width="8.875" style="3" customWidth="1"/>
    <col min="11784" max="11784" width="7.875" style="3" customWidth="1"/>
    <col min="11785" max="11786" width="8.75" style="3" customWidth="1"/>
    <col min="11787" max="11787" width="17.125" style="3" customWidth="1"/>
    <col min="11788" max="11801" width="0" style="3" hidden="1" customWidth="1"/>
    <col min="11802" max="12032" width="9" style="3"/>
    <col min="12033" max="12033" width="0" style="3" hidden="1" customWidth="1"/>
    <col min="12034" max="12034" width="5.75" style="3" customWidth="1"/>
    <col min="12035" max="12035" width="21.625" style="3" customWidth="1"/>
    <col min="12036" max="12036" width="17.5" style="3" customWidth="1"/>
    <col min="12037" max="12037" width="19.125" style="3" customWidth="1"/>
    <col min="12038" max="12038" width="7.75" style="3" customWidth="1"/>
    <col min="12039" max="12039" width="8.875" style="3" customWidth="1"/>
    <col min="12040" max="12040" width="7.875" style="3" customWidth="1"/>
    <col min="12041" max="12042" width="8.75" style="3" customWidth="1"/>
    <col min="12043" max="12043" width="17.125" style="3" customWidth="1"/>
    <col min="12044" max="12057" width="0" style="3" hidden="1" customWidth="1"/>
    <col min="12058" max="12288" width="9" style="3"/>
    <col min="12289" max="12289" width="0" style="3" hidden="1" customWidth="1"/>
    <col min="12290" max="12290" width="5.75" style="3" customWidth="1"/>
    <col min="12291" max="12291" width="21.625" style="3" customWidth="1"/>
    <col min="12292" max="12292" width="17.5" style="3" customWidth="1"/>
    <col min="12293" max="12293" width="19.125" style="3" customWidth="1"/>
    <col min="12294" max="12294" width="7.75" style="3" customWidth="1"/>
    <col min="12295" max="12295" width="8.875" style="3" customWidth="1"/>
    <col min="12296" max="12296" width="7.875" style="3" customWidth="1"/>
    <col min="12297" max="12298" width="8.75" style="3" customWidth="1"/>
    <col min="12299" max="12299" width="17.125" style="3" customWidth="1"/>
    <col min="12300" max="12313" width="0" style="3" hidden="1" customWidth="1"/>
    <col min="12314" max="12544" width="9" style="3"/>
    <col min="12545" max="12545" width="0" style="3" hidden="1" customWidth="1"/>
    <col min="12546" max="12546" width="5.75" style="3" customWidth="1"/>
    <col min="12547" max="12547" width="21.625" style="3" customWidth="1"/>
    <col min="12548" max="12548" width="17.5" style="3" customWidth="1"/>
    <col min="12549" max="12549" width="19.125" style="3" customWidth="1"/>
    <col min="12550" max="12550" width="7.75" style="3" customWidth="1"/>
    <col min="12551" max="12551" width="8.875" style="3" customWidth="1"/>
    <col min="12552" max="12552" width="7.875" style="3" customWidth="1"/>
    <col min="12553" max="12554" width="8.75" style="3" customWidth="1"/>
    <col min="12555" max="12555" width="17.125" style="3" customWidth="1"/>
    <col min="12556" max="12569" width="0" style="3" hidden="1" customWidth="1"/>
    <col min="12570" max="12800" width="9" style="3"/>
    <col min="12801" max="12801" width="0" style="3" hidden="1" customWidth="1"/>
    <col min="12802" max="12802" width="5.75" style="3" customWidth="1"/>
    <col min="12803" max="12803" width="21.625" style="3" customWidth="1"/>
    <col min="12804" max="12804" width="17.5" style="3" customWidth="1"/>
    <col min="12805" max="12805" width="19.125" style="3" customWidth="1"/>
    <col min="12806" max="12806" width="7.75" style="3" customWidth="1"/>
    <col min="12807" max="12807" width="8.875" style="3" customWidth="1"/>
    <col min="12808" max="12808" width="7.875" style="3" customWidth="1"/>
    <col min="12809" max="12810" width="8.75" style="3" customWidth="1"/>
    <col min="12811" max="12811" width="17.125" style="3" customWidth="1"/>
    <col min="12812" max="12825" width="0" style="3" hidden="1" customWidth="1"/>
    <col min="12826" max="13056" width="9" style="3"/>
    <col min="13057" max="13057" width="0" style="3" hidden="1" customWidth="1"/>
    <col min="13058" max="13058" width="5.75" style="3" customWidth="1"/>
    <col min="13059" max="13059" width="21.625" style="3" customWidth="1"/>
    <col min="13060" max="13060" width="17.5" style="3" customWidth="1"/>
    <col min="13061" max="13061" width="19.125" style="3" customWidth="1"/>
    <col min="13062" max="13062" width="7.75" style="3" customWidth="1"/>
    <col min="13063" max="13063" width="8.875" style="3" customWidth="1"/>
    <col min="13064" max="13064" width="7.875" style="3" customWidth="1"/>
    <col min="13065" max="13066" width="8.75" style="3" customWidth="1"/>
    <col min="13067" max="13067" width="17.125" style="3" customWidth="1"/>
    <col min="13068" max="13081" width="0" style="3" hidden="1" customWidth="1"/>
    <col min="13082" max="13312" width="9" style="3"/>
    <col min="13313" max="13313" width="0" style="3" hidden="1" customWidth="1"/>
    <col min="13314" max="13314" width="5.75" style="3" customWidth="1"/>
    <col min="13315" max="13315" width="21.625" style="3" customWidth="1"/>
    <col min="13316" max="13316" width="17.5" style="3" customWidth="1"/>
    <col min="13317" max="13317" width="19.125" style="3" customWidth="1"/>
    <col min="13318" max="13318" width="7.75" style="3" customWidth="1"/>
    <col min="13319" max="13319" width="8.875" style="3" customWidth="1"/>
    <col min="13320" max="13320" width="7.875" style="3" customWidth="1"/>
    <col min="13321" max="13322" width="8.75" style="3" customWidth="1"/>
    <col min="13323" max="13323" width="17.125" style="3" customWidth="1"/>
    <col min="13324" max="13337" width="0" style="3" hidden="1" customWidth="1"/>
    <col min="13338" max="13568" width="9" style="3"/>
    <col min="13569" max="13569" width="0" style="3" hidden="1" customWidth="1"/>
    <col min="13570" max="13570" width="5.75" style="3" customWidth="1"/>
    <col min="13571" max="13571" width="21.625" style="3" customWidth="1"/>
    <col min="13572" max="13572" width="17.5" style="3" customWidth="1"/>
    <col min="13573" max="13573" width="19.125" style="3" customWidth="1"/>
    <col min="13574" max="13574" width="7.75" style="3" customWidth="1"/>
    <col min="13575" max="13575" width="8.875" style="3" customWidth="1"/>
    <col min="13576" max="13576" width="7.875" style="3" customWidth="1"/>
    <col min="13577" max="13578" width="8.75" style="3" customWidth="1"/>
    <col min="13579" max="13579" width="17.125" style="3" customWidth="1"/>
    <col min="13580" max="13593" width="0" style="3" hidden="1" customWidth="1"/>
    <col min="13594" max="13824" width="9" style="3"/>
    <col min="13825" max="13825" width="0" style="3" hidden="1" customWidth="1"/>
    <col min="13826" max="13826" width="5.75" style="3" customWidth="1"/>
    <col min="13827" max="13827" width="21.625" style="3" customWidth="1"/>
    <col min="13828" max="13828" width="17.5" style="3" customWidth="1"/>
    <col min="13829" max="13829" width="19.125" style="3" customWidth="1"/>
    <col min="13830" max="13830" width="7.75" style="3" customWidth="1"/>
    <col min="13831" max="13831" width="8.875" style="3" customWidth="1"/>
    <col min="13832" max="13832" width="7.875" style="3" customWidth="1"/>
    <col min="13833" max="13834" width="8.75" style="3" customWidth="1"/>
    <col min="13835" max="13835" width="17.125" style="3" customWidth="1"/>
    <col min="13836" max="13849" width="0" style="3" hidden="1" customWidth="1"/>
    <col min="13850" max="14080" width="9" style="3"/>
    <col min="14081" max="14081" width="0" style="3" hidden="1" customWidth="1"/>
    <col min="14082" max="14082" width="5.75" style="3" customWidth="1"/>
    <col min="14083" max="14083" width="21.625" style="3" customWidth="1"/>
    <col min="14084" max="14084" width="17.5" style="3" customWidth="1"/>
    <col min="14085" max="14085" width="19.125" style="3" customWidth="1"/>
    <col min="14086" max="14086" width="7.75" style="3" customWidth="1"/>
    <col min="14087" max="14087" width="8.875" style="3" customWidth="1"/>
    <col min="14088" max="14088" width="7.875" style="3" customWidth="1"/>
    <col min="14089" max="14090" width="8.75" style="3" customWidth="1"/>
    <col min="14091" max="14091" width="17.125" style="3" customWidth="1"/>
    <col min="14092" max="14105" width="0" style="3" hidden="1" customWidth="1"/>
    <col min="14106" max="14336" width="9" style="3"/>
    <col min="14337" max="14337" width="0" style="3" hidden="1" customWidth="1"/>
    <col min="14338" max="14338" width="5.75" style="3" customWidth="1"/>
    <col min="14339" max="14339" width="21.625" style="3" customWidth="1"/>
    <col min="14340" max="14340" width="17.5" style="3" customWidth="1"/>
    <col min="14341" max="14341" width="19.125" style="3" customWidth="1"/>
    <col min="14342" max="14342" width="7.75" style="3" customWidth="1"/>
    <col min="14343" max="14343" width="8.875" style="3" customWidth="1"/>
    <col min="14344" max="14344" width="7.875" style="3" customWidth="1"/>
    <col min="14345" max="14346" width="8.75" style="3" customWidth="1"/>
    <col min="14347" max="14347" width="17.125" style="3" customWidth="1"/>
    <col min="14348" max="14361" width="0" style="3" hidden="1" customWidth="1"/>
    <col min="14362" max="14592" width="9" style="3"/>
    <col min="14593" max="14593" width="0" style="3" hidden="1" customWidth="1"/>
    <col min="14594" max="14594" width="5.75" style="3" customWidth="1"/>
    <col min="14595" max="14595" width="21.625" style="3" customWidth="1"/>
    <col min="14596" max="14596" width="17.5" style="3" customWidth="1"/>
    <col min="14597" max="14597" width="19.125" style="3" customWidth="1"/>
    <col min="14598" max="14598" width="7.75" style="3" customWidth="1"/>
    <col min="14599" max="14599" width="8.875" style="3" customWidth="1"/>
    <col min="14600" max="14600" width="7.875" style="3" customWidth="1"/>
    <col min="14601" max="14602" width="8.75" style="3" customWidth="1"/>
    <col min="14603" max="14603" width="17.125" style="3" customWidth="1"/>
    <col min="14604" max="14617" width="0" style="3" hidden="1" customWidth="1"/>
    <col min="14618" max="14848" width="9" style="3"/>
    <col min="14849" max="14849" width="0" style="3" hidden="1" customWidth="1"/>
    <col min="14850" max="14850" width="5.75" style="3" customWidth="1"/>
    <col min="14851" max="14851" width="21.625" style="3" customWidth="1"/>
    <col min="14852" max="14852" width="17.5" style="3" customWidth="1"/>
    <col min="14853" max="14853" width="19.125" style="3" customWidth="1"/>
    <col min="14854" max="14854" width="7.75" style="3" customWidth="1"/>
    <col min="14855" max="14855" width="8.875" style="3" customWidth="1"/>
    <col min="14856" max="14856" width="7.875" style="3" customWidth="1"/>
    <col min="14857" max="14858" width="8.75" style="3" customWidth="1"/>
    <col min="14859" max="14859" width="17.125" style="3" customWidth="1"/>
    <col min="14860" max="14873" width="0" style="3" hidden="1" customWidth="1"/>
    <col min="14874" max="15104" width="9" style="3"/>
    <col min="15105" max="15105" width="0" style="3" hidden="1" customWidth="1"/>
    <col min="15106" max="15106" width="5.75" style="3" customWidth="1"/>
    <col min="15107" max="15107" width="21.625" style="3" customWidth="1"/>
    <col min="15108" max="15108" width="17.5" style="3" customWidth="1"/>
    <col min="15109" max="15109" width="19.125" style="3" customWidth="1"/>
    <col min="15110" max="15110" width="7.75" style="3" customWidth="1"/>
    <col min="15111" max="15111" width="8.875" style="3" customWidth="1"/>
    <col min="15112" max="15112" width="7.875" style="3" customWidth="1"/>
    <col min="15113" max="15114" width="8.75" style="3" customWidth="1"/>
    <col min="15115" max="15115" width="17.125" style="3" customWidth="1"/>
    <col min="15116" max="15129" width="0" style="3" hidden="1" customWidth="1"/>
    <col min="15130" max="15360" width="9" style="3"/>
    <col min="15361" max="15361" width="0" style="3" hidden="1" customWidth="1"/>
    <col min="15362" max="15362" width="5.75" style="3" customWidth="1"/>
    <col min="15363" max="15363" width="21.625" style="3" customWidth="1"/>
    <col min="15364" max="15364" width="17.5" style="3" customWidth="1"/>
    <col min="15365" max="15365" width="19.125" style="3" customWidth="1"/>
    <col min="15366" max="15366" width="7.75" style="3" customWidth="1"/>
    <col min="15367" max="15367" width="8.875" style="3" customWidth="1"/>
    <col min="15368" max="15368" width="7.875" style="3" customWidth="1"/>
    <col min="15369" max="15370" width="8.75" style="3" customWidth="1"/>
    <col min="15371" max="15371" width="17.125" style="3" customWidth="1"/>
    <col min="15372" max="15385" width="0" style="3" hidden="1" customWidth="1"/>
    <col min="15386" max="15616" width="9" style="3"/>
    <col min="15617" max="15617" width="0" style="3" hidden="1" customWidth="1"/>
    <col min="15618" max="15618" width="5.75" style="3" customWidth="1"/>
    <col min="15619" max="15619" width="21.625" style="3" customWidth="1"/>
    <col min="15620" max="15620" width="17.5" style="3" customWidth="1"/>
    <col min="15621" max="15621" width="19.125" style="3" customWidth="1"/>
    <col min="15622" max="15622" width="7.75" style="3" customWidth="1"/>
    <col min="15623" max="15623" width="8.875" style="3" customWidth="1"/>
    <col min="15624" max="15624" width="7.875" style="3" customWidth="1"/>
    <col min="15625" max="15626" width="8.75" style="3" customWidth="1"/>
    <col min="15627" max="15627" width="17.125" style="3" customWidth="1"/>
    <col min="15628" max="15641" width="0" style="3" hidden="1" customWidth="1"/>
    <col min="15642" max="15872" width="9" style="3"/>
    <col min="15873" max="15873" width="0" style="3" hidden="1" customWidth="1"/>
    <col min="15874" max="15874" width="5.75" style="3" customWidth="1"/>
    <col min="15875" max="15875" width="21.625" style="3" customWidth="1"/>
    <col min="15876" max="15876" width="17.5" style="3" customWidth="1"/>
    <col min="15877" max="15877" width="19.125" style="3" customWidth="1"/>
    <col min="15878" max="15878" width="7.75" style="3" customWidth="1"/>
    <col min="15879" max="15879" width="8.875" style="3" customWidth="1"/>
    <col min="15880" max="15880" width="7.875" style="3" customWidth="1"/>
    <col min="15881" max="15882" width="8.75" style="3" customWidth="1"/>
    <col min="15883" max="15883" width="17.125" style="3" customWidth="1"/>
    <col min="15884" max="15897" width="0" style="3" hidden="1" customWidth="1"/>
    <col min="15898" max="16128" width="9" style="3"/>
    <col min="16129" max="16129" width="0" style="3" hidden="1" customWidth="1"/>
    <col min="16130" max="16130" width="5.75" style="3" customWidth="1"/>
    <col min="16131" max="16131" width="21.625" style="3" customWidth="1"/>
    <col min="16132" max="16132" width="17.5" style="3" customWidth="1"/>
    <col min="16133" max="16133" width="19.125" style="3" customWidth="1"/>
    <col min="16134" max="16134" width="7.75" style="3" customWidth="1"/>
    <col min="16135" max="16135" width="8.875" style="3" customWidth="1"/>
    <col min="16136" max="16136" width="7.875" style="3" customWidth="1"/>
    <col min="16137" max="16138" width="8.75" style="3" customWidth="1"/>
    <col min="16139" max="16139" width="17.125" style="3" customWidth="1"/>
    <col min="16140" max="16153" width="0" style="3" hidden="1" customWidth="1"/>
    <col min="16154" max="16384" width="9" style="3"/>
  </cols>
  <sheetData>
    <row r="1" spans="1:31" s="12" customFormat="1" ht="24" customHeight="1" x14ac:dyDescent="0.25">
      <c r="A1" s="11"/>
      <c r="B1" s="187" t="s">
        <v>534</v>
      </c>
      <c r="C1" s="187"/>
      <c r="D1" s="187"/>
      <c r="E1" s="187"/>
      <c r="F1" s="187"/>
      <c r="G1" s="187"/>
      <c r="H1" s="187"/>
      <c r="I1" s="187"/>
      <c r="J1" s="187"/>
      <c r="K1" s="187"/>
      <c r="L1" s="4"/>
      <c r="M1" s="4"/>
      <c r="N1" s="4"/>
      <c r="O1" s="4"/>
      <c r="P1" s="4"/>
      <c r="Q1" s="4"/>
      <c r="R1" s="4"/>
      <c r="S1" s="4"/>
      <c r="T1" s="4"/>
      <c r="U1" s="7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12" customFormat="1" ht="28.5" customHeight="1" x14ac:dyDescent="0.25">
      <c r="A2" s="11"/>
      <c r="B2" s="188" t="s">
        <v>6</v>
      </c>
      <c r="C2" s="188"/>
      <c r="D2" s="188"/>
      <c r="E2" s="188"/>
      <c r="F2" s="188"/>
      <c r="G2" s="188"/>
      <c r="H2" s="188"/>
      <c r="I2" s="188"/>
      <c r="J2" s="188"/>
      <c r="K2" s="188"/>
      <c r="L2" s="13"/>
      <c r="M2" s="13"/>
      <c r="N2" s="13"/>
      <c r="O2" s="13"/>
      <c r="P2" s="13"/>
      <c r="Q2" s="13"/>
      <c r="R2" s="13"/>
      <c r="S2" s="13"/>
      <c r="T2" s="13"/>
      <c r="U2" s="14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s="12" customFormat="1" ht="18.75" x14ac:dyDescent="0.25">
      <c r="A3" s="11"/>
      <c r="B3" s="14"/>
      <c r="C3" s="14"/>
      <c r="D3" s="14"/>
      <c r="E3" s="14"/>
      <c r="F3" s="14"/>
      <c r="G3" s="14"/>
      <c r="H3" s="14"/>
      <c r="I3" s="14"/>
      <c r="J3" s="14"/>
      <c r="K3" s="14"/>
      <c r="L3" s="13"/>
      <c r="M3" s="13"/>
      <c r="N3" s="13"/>
      <c r="O3" s="13"/>
      <c r="P3" s="13"/>
      <c r="Q3" s="13"/>
      <c r="R3" s="13"/>
      <c r="S3" s="13"/>
      <c r="T3" s="13"/>
      <c r="U3" s="14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ht="25.5" customHeight="1" x14ac:dyDescent="0.25">
      <c r="B4" s="189" t="s">
        <v>7</v>
      </c>
      <c r="C4" s="191" t="s">
        <v>8</v>
      </c>
      <c r="D4" s="193" t="s">
        <v>533</v>
      </c>
      <c r="E4" s="193" t="s">
        <v>10</v>
      </c>
      <c r="F4" s="195" t="s">
        <v>11</v>
      </c>
      <c r="G4" s="191" t="s">
        <v>12</v>
      </c>
      <c r="H4" s="193" t="s">
        <v>13</v>
      </c>
      <c r="I4" s="196" t="s">
        <v>14</v>
      </c>
      <c r="J4" s="197"/>
      <c r="K4" s="198" t="s">
        <v>15</v>
      </c>
      <c r="L4" s="15"/>
      <c r="M4" s="16"/>
      <c r="N4" s="16"/>
      <c r="O4" s="16"/>
      <c r="P4" s="16"/>
      <c r="Q4" s="15"/>
      <c r="R4" s="16"/>
      <c r="S4" s="16"/>
    </row>
    <row r="5" spans="1:31" ht="36.75" customHeight="1" x14ac:dyDescent="0.25">
      <c r="B5" s="190"/>
      <c r="C5" s="192"/>
      <c r="D5" s="194"/>
      <c r="E5" s="194"/>
      <c r="F5" s="195"/>
      <c r="G5" s="192"/>
      <c r="H5" s="194"/>
      <c r="I5" s="17" t="s">
        <v>16</v>
      </c>
      <c r="J5" s="17" t="s">
        <v>17</v>
      </c>
      <c r="K5" s="199"/>
      <c r="L5" s="15"/>
      <c r="M5" s="16"/>
      <c r="N5" s="16"/>
      <c r="O5" s="16"/>
      <c r="P5" s="16"/>
      <c r="Q5" s="15"/>
      <c r="R5" s="16"/>
      <c r="S5" s="16"/>
    </row>
    <row r="6" spans="1:31" s="2" customFormat="1" x14ac:dyDescent="0.25">
      <c r="A6" s="18"/>
      <c r="B6" s="115" t="s">
        <v>18</v>
      </c>
      <c r="C6" s="116" t="s">
        <v>513</v>
      </c>
      <c r="D6" s="115" t="str">
        <f>CONCATENATE(COUNT(B6:B17)," trạm")</f>
        <v>9 trạm</v>
      </c>
      <c r="E6" s="115"/>
      <c r="F6" s="117">
        <f>SUM(F7:F17)</f>
        <v>66</v>
      </c>
      <c r="G6" s="117"/>
      <c r="H6" s="118"/>
      <c r="I6" s="118"/>
      <c r="J6" s="118"/>
      <c r="K6" s="119"/>
      <c r="L6" s="23" t="e">
        <f>+#REF!+#REF!+#REF!</f>
        <v>#REF!</v>
      </c>
      <c r="M6" s="23" t="e">
        <f>+#REF!+#REF!+#REF!</f>
        <v>#REF!</v>
      </c>
      <c r="N6" s="23" t="e">
        <f>+#REF!+#REF!+#REF!</f>
        <v>#REF!</v>
      </c>
      <c r="O6" s="24"/>
      <c r="P6" s="24"/>
      <c r="Q6" s="23" t="e">
        <f>+#REF!+#REF!+#REF!</f>
        <v>#REF!</v>
      </c>
      <c r="R6" s="24"/>
      <c r="S6" s="24"/>
      <c r="W6"/>
    </row>
    <row r="7" spans="1:31" x14ac:dyDescent="0.25">
      <c r="A7" s="1">
        <f>IF(B7&gt;0,SUM(MAX($A$6:A6),1),0)</f>
        <v>1</v>
      </c>
      <c r="B7" s="120">
        <v>1</v>
      </c>
      <c r="C7" s="121" t="s">
        <v>35</v>
      </c>
      <c r="D7" s="120" t="s">
        <v>518</v>
      </c>
      <c r="E7" s="122" t="s">
        <v>37</v>
      </c>
      <c r="F7" s="120">
        <v>24</v>
      </c>
      <c r="G7" s="123">
        <v>1100</v>
      </c>
      <c r="H7" s="124" t="str">
        <f t="shared" ref="H7:H14" si="0">IF(AND(Q7&lt;3600,Q7&gt;0),"nhỏ",IF(AND(Q7&gt;=3600,Q7&lt;72000),"vừa",IF(Q7&lt;&gt;0,"lớn",0)))</f>
        <v>vừa</v>
      </c>
      <c r="I7" s="124"/>
      <c r="J7" s="123">
        <v>840</v>
      </c>
      <c r="K7" s="125" t="s">
        <v>38</v>
      </c>
      <c r="L7" s="15"/>
      <c r="M7" s="16"/>
      <c r="N7" s="16"/>
      <c r="O7" s="16"/>
      <c r="P7" s="16"/>
      <c r="Q7" s="15">
        <f t="shared" ref="Q7:Q14" si="1">F7*G7</f>
        <v>26400</v>
      </c>
      <c r="R7" s="16"/>
      <c r="S7" s="16"/>
      <c r="U7" s="159">
        <v>22</v>
      </c>
      <c r="V7" s="159">
        <v>12</v>
      </c>
      <c r="W7" s="159">
        <v>8</v>
      </c>
      <c r="X7" s="159">
        <v>4</v>
      </c>
      <c r="Y7" s="159" t="s">
        <v>541</v>
      </c>
      <c r="Z7" s="159" t="s">
        <v>542</v>
      </c>
      <c r="AA7" s="159">
        <v>1</v>
      </c>
      <c r="AB7" s="159" t="s">
        <v>543</v>
      </c>
    </row>
    <row r="8" spans="1:31" x14ac:dyDescent="0.25">
      <c r="A8" s="1" t="e">
        <f ca="1">IF(B8&gt;0,SUM(MAX($A$6:A9),1),0)</f>
        <v>#REF!</v>
      </c>
      <c r="B8" s="120">
        <v>2</v>
      </c>
      <c r="C8" s="121" t="s">
        <v>44</v>
      </c>
      <c r="D8" s="120" t="s">
        <v>514</v>
      </c>
      <c r="E8" s="126" t="s">
        <v>26</v>
      </c>
      <c r="F8" s="120">
        <v>3</v>
      </c>
      <c r="G8" s="123">
        <v>980</v>
      </c>
      <c r="H8" s="124" t="str">
        <f>IF(AND(Q8&lt;3600,Q8&gt;0),"nhỏ",IF(AND(Q8&gt;=3600,Q8&lt;72000),"vừa",IF(Q8&lt;&gt;0,"lớn",0)))</f>
        <v>nhỏ</v>
      </c>
      <c r="I8" s="124"/>
      <c r="J8" s="123">
        <v>250</v>
      </c>
      <c r="K8" s="125" t="s">
        <v>46</v>
      </c>
      <c r="L8" s="15"/>
      <c r="M8" s="16"/>
      <c r="N8" s="16"/>
      <c r="O8" s="16"/>
      <c r="P8" s="16"/>
      <c r="Q8" s="15">
        <f>F8*G8</f>
        <v>2940</v>
      </c>
      <c r="R8" s="16"/>
      <c r="S8" s="16"/>
    </row>
    <row r="9" spans="1:31" x14ac:dyDescent="0.25">
      <c r="A9" s="1" t="e">
        <f ca="1">IF(B9&gt;0,SUM(MAX($A$6:A14),1),0)</f>
        <v>#REF!</v>
      </c>
      <c r="B9" s="120">
        <v>3</v>
      </c>
      <c r="C9" s="121" t="s">
        <v>41</v>
      </c>
      <c r="D9" s="120" t="s">
        <v>58</v>
      </c>
      <c r="E9" s="126" t="s">
        <v>26</v>
      </c>
      <c r="F9" s="120">
        <v>14</v>
      </c>
      <c r="G9" s="123">
        <v>2500</v>
      </c>
      <c r="H9" s="124" t="str">
        <f>IF(AND(Q9&lt;3600,Q9&gt;0),"nhỏ",IF(AND(Q9&gt;=3600,Q9&lt;72000),"vừa",IF(Q9&lt;&gt;0,"lớn",0)))</f>
        <v>vừa</v>
      </c>
      <c r="I9" s="124"/>
      <c r="J9" s="123">
        <v>1300</v>
      </c>
      <c r="K9" s="125" t="s">
        <v>43</v>
      </c>
      <c r="L9" s="15"/>
      <c r="M9" s="16"/>
      <c r="N9" s="16"/>
      <c r="O9" s="16"/>
      <c r="P9" s="16"/>
      <c r="Q9" s="15">
        <f>F9*G9</f>
        <v>35000</v>
      </c>
      <c r="R9" s="16"/>
      <c r="S9" s="16"/>
    </row>
    <row r="10" spans="1:31" x14ac:dyDescent="0.25">
      <c r="A10" s="1" t="e">
        <f ca="1">IF(B10&gt;0,SUM(MAX($A$6:A15),1),0)</f>
        <v>#REF!</v>
      </c>
      <c r="B10" s="120">
        <v>4</v>
      </c>
      <c r="C10" s="121" t="s">
        <v>55</v>
      </c>
      <c r="D10" s="120" t="s">
        <v>514</v>
      </c>
      <c r="E10" s="126" t="s">
        <v>26</v>
      </c>
      <c r="F10" s="120">
        <v>5</v>
      </c>
      <c r="G10" s="123">
        <v>2500</v>
      </c>
      <c r="H10" s="124" t="str">
        <f>IF(AND(Q10&lt;3600,Q10&gt;0),"nhỏ",IF(AND(Q10&gt;=3600,Q10&lt;72000),"vừa",IF(Q10&lt;&gt;0,"lớn",0)))</f>
        <v>vừa</v>
      </c>
      <c r="I10" s="124"/>
      <c r="J10" s="123">
        <v>426</v>
      </c>
      <c r="K10" s="125" t="s">
        <v>56</v>
      </c>
      <c r="L10" s="15"/>
      <c r="M10" s="16"/>
      <c r="N10" s="16"/>
      <c r="O10" s="16"/>
      <c r="P10" s="16"/>
      <c r="Q10" s="15">
        <f>F10*G10</f>
        <v>12500</v>
      </c>
      <c r="R10" s="16"/>
      <c r="S10" s="16"/>
    </row>
    <row r="11" spans="1:31" x14ac:dyDescent="0.25">
      <c r="A11" s="1" t="e">
        <f ca="1">IF(B11&gt;0,SUM(MAX($A$6:A9),1),0)</f>
        <v>#REF!</v>
      </c>
      <c r="B11" s="238">
        <f>SUM(MAX($B$7:B10),1)</f>
        <v>5</v>
      </c>
      <c r="C11" s="242" t="s">
        <v>47</v>
      </c>
      <c r="D11" s="238" t="s">
        <v>58</v>
      </c>
      <c r="E11" s="239" t="s">
        <v>26</v>
      </c>
      <c r="F11" s="120">
        <v>4</v>
      </c>
      <c r="G11" s="123">
        <v>4000</v>
      </c>
      <c r="H11" s="240" t="str">
        <f>IF(AND(Q11&lt;3600,Q11&gt;0),"nhỏ",IF(AND(Q11&gt;=3600,Q11&lt;72000),"vừa",IF(Q11&lt;&gt;0,"lớn",0)))</f>
        <v>vừa</v>
      </c>
      <c r="I11" s="240"/>
      <c r="J11" s="235">
        <v>450</v>
      </c>
      <c r="K11" s="245" t="s">
        <v>49</v>
      </c>
      <c r="L11" s="15"/>
      <c r="M11" s="16"/>
      <c r="N11" s="16"/>
      <c r="O11" s="16"/>
      <c r="P11" s="16"/>
      <c r="Q11" s="15">
        <f>F11*G11+F12*G12+F13*G13</f>
        <v>19910</v>
      </c>
      <c r="R11" s="16"/>
      <c r="S11" s="16"/>
    </row>
    <row r="12" spans="1:31" ht="16.5" customHeight="1" x14ac:dyDescent="0.25">
      <c r="B12" s="238"/>
      <c r="C12" s="242"/>
      <c r="D12" s="238"/>
      <c r="E12" s="239"/>
      <c r="F12" s="120">
        <v>1</v>
      </c>
      <c r="G12" s="123">
        <v>1950</v>
      </c>
      <c r="H12" s="240"/>
      <c r="I12" s="240"/>
      <c r="J12" s="235"/>
      <c r="K12" s="245"/>
      <c r="L12" s="15"/>
      <c r="M12" s="16"/>
      <c r="N12" s="16"/>
      <c r="O12" s="16"/>
      <c r="P12" s="16"/>
      <c r="Q12" s="15"/>
      <c r="R12" s="16"/>
      <c r="S12" s="16"/>
      <c r="U12" s="3"/>
    </row>
    <row r="13" spans="1:31" ht="27" customHeight="1" x14ac:dyDescent="0.25">
      <c r="B13" s="120"/>
      <c r="C13" s="121" t="s">
        <v>494</v>
      </c>
      <c r="D13" s="238"/>
      <c r="E13" s="126" t="s">
        <v>26</v>
      </c>
      <c r="F13" s="120">
        <v>2</v>
      </c>
      <c r="G13" s="123">
        <v>980</v>
      </c>
      <c r="H13" s="240"/>
      <c r="I13" s="123">
        <v>506.49</v>
      </c>
      <c r="J13" s="127"/>
      <c r="K13" s="125" t="s">
        <v>51</v>
      </c>
      <c r="L13" s="15"/>
      <c r="M13" s="16"/>
      <c r="N13" s="16"/>
      <c r="O13" s="16"/>
      <c r="P13" s="16"/>
      <c r="Q13" s="15"/>
      <c r="R13" s="16"/>
      <c r="S13" s="16"/>
    </row>
    <row r="14" spans="1:31" ht="33" x14ac:dyDescent="0.25">
      <c r="A14" s="1">
        <f>IF(B14&gt;0,SUM(MAX($A$6:A7),1),0)</f>
        <v>2</v>
      </c>
      <c r="B14" s="120">
        <f>B11+1</f>
        <v>6</v>
      </c>
      <c r="C14" s="121" t="s">
        <v>39</v>
      </c>
      <c r="D14" s="120" t="s">
        <v>58</v>
      </c>
      <c r="E14" s="120" t="s">
        <v>520</v>
      </c>
      <c r="F14" s="120">
        <v>3</v>
      </c>
      <c r="G14" s="123">
        <v>2500</v>
      </c>
      <c r="H14" s="124" t="str">
        <f t="shared" si="0"/>
        <v>vừa</v>
      </c>
      <c r="I14" s="124"/>
      <c r="J14" s="123">
        <v>350</v>
      </c>
      <c r="K14" s="126"/>
      <c r="L14" s="15"/>
      <c r="M14" s="16"/>
      <c r="N14" s="16"/>
      <c r="O14" s="16"/>
      <c r="P14" s="16"/>
      <c r="Q14" s="15">
        <f t="shared" si="1"/>
        <v>7500</v>
      </c>
      <c r="R14" s="16"/>
      <c r="S14" s="16"/>
      <c r="U14" s="3"/>
    </row>
    <row r="15" spans="1:31" x14ac:dyDescent="0.25">
      <c r="A15" s="1" t="e">
        <f ca="1">IF(B15&gt;0,SUM(MAX($A$6:A11),1),0)</f>
        <v>#REF!</v>
      </c>
      <c r="B15" s="120">
        <f>B14+1</f>
        <v>7</v>
      </c>
      <c r="C15" s="121" t="s">
        <v>52</v>
      </c>
      <c r="D15" s="126" t="s">
        <v>58</v>
      </c>
      <c r="E15" s="126" t="s">
        <v>54</v>
      </c>
      <c r="F15" s="120">
        <v>3</v>
      </c>
      <c r="G15" s="123">
        <v>1120</v>
      </c>
      <c r="H15" s="124" t="str">
        <f>IF(AND(Q15&lt;3600,Q15&gt;0),"nhỏ",IF(AND(Q15&gt;=3600,Q15&lt;72000),"vừa",IF(Q15&lt;&gt;0,"lớn",0)))</f>
        <v>nhỏ</v>
      </c>
      <c r="I15" s="124"/>
      <c r="J15" s="124"/>
      <c r="K15" s="126"/>
      <c r="L15" s="15"/>
      <c r="M15" s="16"/>
      <c r="N15" s="16"/>
      <c r="O15" s="16"/>
      <c r="P15" s="16"/>
      <c r="Q15" s="15">
        <f>F15*G15</f>
        <v>3360</v>
      </c>
      <c r="R15" s="16"/>
      <c r="S15" s="16"/>
      <c r="U15" s="3"/>
    </row>
    <row r="16" spans="1:31" x14ac:dyDescent="0.25">
      <c r="A16" s="1" t="e">
        <f ca="1">IF(B16&gt;0,SUM(MAX($A$6:A17),1),0)</f>
        <v>#REF!</v>
      </c>
      <c r="B16" s="120">
        <f>B15+1</f>
        <v>8</v>
      </c>
      <c r="C16" s="121" t="s">
        <v>60</v>
      </c>
      <c r="D16" s="128" t="s">
        <v>514</v>
      </c>
      <c r="E16" s="128" t="s">
        <v>26</v>
      </c>
      <c r="F16" s="120">
        <v>4</v>
      </c>
      <c r="G16" s="125">
        <v>2500</v>
      </c>
      <c r="H16" s="124" t="str">
        <f>IF(AND(Q16&lt;3600,Q16&gt;0),"nhỏ",IF(AND(Q16&gt;=3600,Q16&lt;72000),"vừa",IF(Q16&lt;&gt;0,"lớn",0)))</f>
        <v>vừa</v>
      </c>
      <c r="I16" s="123">
        <v>70</v>
      </c>
      <c r="J16" s="123">
        <v>373</v>
      </c>
      <c r="K16" s="125" t="s">
        <v>62</v>
      </c>
      <c r="L16" s="15"/>
      <c r="M16" s="16"/>
      <c r="N16" s="16"/>
      <c r="O16" s="16"/>
      <c r="P16" s="16"/>
      <c r="Q16" s="15">
        <f>F16*G16</f>
        <v>10000</v>
      </c>
      <c r="R16" s="16"/>
      <c r="S16" s="16"/>
    </row>
    <row r="17" spans="1:21" ht="33" x14ac:dyDescent="0.25">
      <c r="A17" s="1" t="e">
        <f ca="1">IF(B17&gt;0,SUM(MAX($A$6:A15),1),0)</f>
        <v>#REF!</v>
      </c>
      <c r="B17" s="120">
        <f>B16+1</f>
        <v>9</v>
      </c>
      <c r="C17" s="121" t="s">
        <v>58</v>
      </c>
      <c r="D17" s="120" t="s">
        <v>58</v>
      </c>
      <c r="E17" s="120" t="s">
        <v>520</v>
      </c>
      <c r="F17" s="120">
        <v>3</v>
      </c>
      <c r="G17" s="125">
        <v>2500</v>
      </c>
      <c r="H17" s="124" t="str">
        <f>IF(AND(Q17&lt;3600,Q17&gt;0),"nhỏ",IF(AND(Q17&gt;=3600,Q17&lt;72000),"vừa",IF(Q17&lt;&gt;0,"lớn",0)))</f>
        <v>vừa</v>
      </c>
      <c r="I17" s="124"/>
      <c r="J17" s="123">
        <v>308</v>
      </c>
      <c r="K17" s="126"/>
      <c r="L17" s="15"/>
      <c r="M17" s="16"/>
      <c r="N17" s="16"/>
      <c r="O17" s="16"/>
      <c r="P17" s="16"/>
      <c r="Q17" s="15">
        <f>F17*G17</f>
        <v>7500</v>
      </c>
      <c r="R17" s="16"/>
      <c r="S17" s="16"/>
      <c r="U17" s="3"/>
    </row>
    <row r="18" spans="1:21" s="2" customFormat="1" x14ac:dyDescent="0.25">
      <c r="A18" s="1"/>
      <c r="B18" s="129" t="s">
        <v>63</v>
      </c>
      <c r="C18" s="130" t="s">
        <v>530</v>
      </c>
      <c r="D18" s="131" t="str">
        <f>CONCATENATE(COUNT(B18:B56)," trạm")</f>
        <v>20 trạm</v>
      </c>
      <c r="E18" s="131"/>
      <c r="F18" s="132">
        <f>SUM(F19:F56)</f>
        <v>137</v>
      </c>
      <c r="G18" s="125"/>
      <c r="H18" s="133"/>
      <c r="I18" s="133"/>
      <c r="J18" s="133"/>
      <c r="K18" s="134"/>
      <c r="L18" s="23" t="e">
        <f>+#REF!+#REF!+#REF!</f>
        <v>#REF!</v>
      </c>
      <c r="M18" s="23" t="e">
        <f>+#REF!+#REF!+#REF!</f>
        <v>#REF!</v>
      </c>
      <c r="N18" s="23" t="e">
        <f>+#REF!+#REF!+#REF!</f>
        <v>#REF!</v>
      </c>
      <c r="O18" s="24"/>
      <c r="P18" s="24"/>
      <c r="Q18" s="23" t="e">
        <f>+#REF!+#REF!+#REF!</f>
        <v>#REF!</v>
      </c>
      <c r="R18" s="24"/>
      <c r="S18" s="24"/>
    </row>
    <row r="19" spans="1:21" x14ac:dyDescent="0.25">
      <c r="A19" s="1" t="e">
        <f ca="1">IF(B19&gt;0,SUM(MAX($A$6:A18),1),0)</f>
        <v>#REF!</v>
      </c>
      <c r="B19" s="120">
        <v>1</v>
      </c>
      <c r="C19" s="121" t="s">
        <v>84</v>
      </c>
      <c r="D19" s="120" t="s">
        <v>521</v>
      </c>
      <c r="E19" s="126" t="s">
        <v>26</v>
      </c>
      <c r="F19" s="120">
        <v>5</v>
      </c>
      <c r="G19" s="123">
        <v>3700</v>
      </c>
      <c r="H19" s="124" t="str">
        <f t="shared" ref="H19:H27" si="2">IF(AND(Q19&lt;3600,Q19&gt;0),"nhỏ",IF(AND(Q19&gt;=3600,Q19&lt;72000),"vừa",IF(Q19&lt;&gt;0,"lớn",0)))</f>
        <v>vừa</v>
      </c>
      <c r="I19" s="124"/>
      <c r="J19" s="123">
        <v>474</v>
      </c>
      <c r="K19" s="125" t="s">
        <v>86</v>
      </c>
      <c r="L19" s="15"/>
      <c r="M19" s="16"/>
      <c r="N19" s="16"/>
      <c r="O19" s="16"/>
      <c r="P19" s="16"/>
      <c r="Q19" s="15">
        <f>F19*G19</f>
        <v>18500</v>
      </c>
      <c r="R19" s="16"/>
      <c r="S19" s="16"/>
    </row>
    <row r="20" spans="1:21" x14ac:dyDescent="0.25">
      <c r="A20" s="1" t="e">
        <f ca="1">IF(B20&gt;0,SUM(MAX($A$6:A22),1),0)</f>
        <v>#REF!</v>
      </c>
      <c r="B20" s="120">
        <f t="shared" ref="B20:B27" si="3">B19+1</f>
        <v>2</v>
      </c>
      <c r="C20" s="121" t="s">
        <v>92</v>
      </c>
      <c r="D20" s="120" t="s">
        <v>521</v>
      </c>
      <c r="E20" s="126" t="s">
        <v>26</v>
      </c>
      <c r="F20" s="120">
        <v>3</v>
      </c>
      <c r="G20" s="123">
        <v>2500</v>
      </c>
      <c r="H20" s="124" t="str">
        <f>IF(AND(Q20&lt;3600,Q20&gt;0),"nhỏ",IF(AND(Q20&gt;=3600,Q20&lt;72000),"vừa",IF(Q20&lt;&gt;0,"lớn",0)))</f>
        <v>vừa</v>
      </c>
      <c r="I20" s="124"/>
      <c r="J20" s="123">
        <v>300</v>
      </c>
      <c r="K20" s="125" t="s">
        <v>93</v>
      </c>
      <c r="L20" s="15"/>
      <c r="M20" s="16"/>
      <c r="N20" s="16"/>
      <c r="O20" s="16"/>
      <c r="P20" s="16"/>
      <c r="Q20" s="15">
        <f>F20*G20</f>
        <v>7500</v>
      </c>
      <c r="R20" s="16"/>
      <c r="S20" s="16"/>
    </row>
    <row r="21" spans="1:21" x14ac:dyDescent="0.25">
      <c r="B21" s="120">
        <f t="shared" si="3"/>
        <v>3</v>
      </c>
      <c r="C21" s="121" t="s">
        <v>90</v>
      </c>
      <c r="D21" s="120" t="s">
        <v>522</v>
      </c>
      <c r="E21" s="126"/>
      <c r="F21" s="120">
        <v>4</v>
      </c>
      <c r="G21" s="123">
        <v>4000</v>
      </c>
      <c r="H21" s="240" t="s">
        <v>103</v>
      </c>
      <c r="I21" s="123">
        <v>460</v>
      </c>
      <c r="J21" s="123">
        <v>460</v>
      </c>
      <c r="K21" s="125" t="s">
        <v>91</v>
      </c>
      <c r="L21" s="15"/>
      <c r="M21" s="16"/>
      <c r="N21" s="16"/>
      <c r="O21" s="16"/>
      <c r="P21" s="16"/>
      <c r="Q21" s="15"/>
      <c r="R21" s="16"/>
      <c r="S21" s="16"/>
      <c r="U21" s="3"/>
    </row>
    <row r="22" spans="1:21" ht="28.5" customHeight="1" x14ac:dyDescent="0.25">
      <c r="A22" s="1" t="e">
        <f ca="1">IF(B21&gt;0,SUM(MAX($A$6:A19),1),0)</f>
        <v>#REF!</v>
      </c>
      <c r="B22" s="120"/>
      <c r="C22" s="121" t="s">
        <v>87</v>
      </c>
      <c r="D22" s="120" t="s">
        <v>522</v>
      </c>
      <c r="E22" s="126" t="s">
        <v>26</v>
      </c>
      <c r="F22" s="120">
        <v>4</v>
      </c>
      <c r="G22" s="123">
        <v>7300</v>
      </c>
      <c r="H22" s="240"/>
      <c r="I22" s="124"/>
      <c r="J22" s="135">
        <v>1010</v>
      </c>
      <c r="K22" s="125" t="s">
        <v>89</v>
      </c>
      <c r="L22" s="15"/>
      <c r="M22" s="16"/>
      <c r="N22" s="16"/>
      <c r="O22" s="16"/>
      <c r="P22" s="16"/>
      <c r="Q22" s="15" t="e">
        <f>F22*G22+#REF!*#REF!</f>
        <v>#REF!</v>
      </c>
      <c r="R22" s="16"/>
      <c r="S22" s="16"/>
    </row>
    <row r="23" spans="1:21" s="41" customFormat="1" x14ac:dyDescent="0.25">
      <c r="A23" s="1"/>
      <c r="B23" s="120">
        <f>B21+1</f>
        <v>4</v>
      </c>
      <c r="C23" s="121" t="s">
        <v>498</v>
      </c>
      <c r="D23" s="120" t="s">
        <v>522</v>
      </c>
      <c r="E23" s="126" t="s">
        <v>26</v>
      </c>
      <c r="F23" s="120">
        <v>10</v>
      </c>
      <c r="G23" s="123">
        <v>4000</v>
      </c>
      <c r="H23" s="124" t="str">
        <f>IF(AND(Q23&lt;3600,Q23&gt;0),"nhỏ",IF(AND(Q23&gt;=3600,Q23&lt;72000),"vừa",IF(Q23&lt;&gt;0,"lớn",0)))</f>
        <v>vừa</v>
      </c>
      <c r="I23" s="124"/>
      <c r="J23" s="123">
        <v>1440</v>
      </c>
      <c r="K23" s="125" t="s">
        <v>111</v>
      </c>
      <c r="L23" s="39"/>
      <c r="M23" s="40"/>
      <c r="N23" s="40"/>
      <c r="O23" s="40"/>
      <c r="P23" s="40"/>
      <c r="Q23" s="15">
        <f>F23*G23</f>
        <v>40000</v>
      </c>
      <c r="R23" s="40"/>
      <c r="S23" s="40"/>
      <c r="U23" s="106"/>
    </row>
    <row r="24" spans="1:21" s="41" customFormat="1" x14ac:dyDescent="0.25">
      <c r="A24" s="1"/>
      <c r="B24" s="120">
        <f t="shared" si="3"/>
        <v>5</v>
      </c>
      <c r="C24" s="121" t="s">
        <v>496</v>
      </c>
      <c r="D24" s="120" t="s">
        <v>522</v>
      </c>
      <c r="E24" s="239" t="s">
        <v>26</v>
      </c>
      <c r="F24" s="120">
        <v>7</v>
      </c>
      <c r="G24" s="123">
        <v>8400</v>
      </c>
      <c r="H24" s="240" t="s">
        <v>103</v>
      </c>
      <c r="I24" s="124"/>
      <c r="J24" s="123">
        <v>2319</v>
      </c>
      <c r="K24" s="125" t="s">
        <v>104</v>
      </c>
      <c r="L24" s="39"/>
      <c r="M24" s="40"/>
      <c r="N24" s="40"/>
      <c r="O24" s="40"/>
      <c r="P24" s="40"/>
      <c r="Q24" s="15">
        <f>F24*G24+F25*G25</f>
        <v>98800</v>
      </c>
      <c r="R24" s="40"/>
      <c r="S24" s="40"/>
      <c r="U24" s="106"/>
    </row>
    <row r="25" spans="1:21" s="41" customFormat="1" x14ac:dyDescent="0.25">
      <c r="A25" s="1"/>
      <c r="B25" s="120"/>
      <c r="C25" s="121" t="s">
        <v>497</v>
      </c>
      <c r="D25" s="120" t="s">
        <v>522</v>
      </c>
      <c r="E25" s="239"/>
      <c r="F25" s="120">
        <v>10</v>
      </c>
      <c r="G25" s="123">
        <v>4000</v>
      </c>
      <c r="H25" s="240"/>
      <c r="I25" s="123">
        <v>1315</v>
      </c>
      <c r="J25" s="123">
        <v>1315</v>
      </c>
      <c r="K25" s="125" t="s">
        <v>106</v>
      </c>
      <c r="L25" s="39"/>
      <c r="M25" s="40"/>
      <c r="N25" s="40"/>
      <c r="O25" s="40"/>
      <c r="P25" s="40"/>
      <c r="Q25" s="39"/>
      <c r="R25" s="40"/>
      <c r="S25" s="40"/>
    </row>
    <row r="26" spans="1:21" x14ac:dyDescent="0.25">
      <c r="A26" s="1" t="e">
        <f ca="1">IF(B26&gt;0,SUM(MAX($A$6:A22),1),0)</f>
        <v>#REF!</v>
      </c>
      <c r="B26" s="120">
        <f>B24+1</f>
        <v>6</v>
      </c>
      <c r="C26" s="121" t="s">
        <v>97</v>
      </c>
      <c r="D26" s="120" t="s">
        <v>522</v>
      </c>
      <c r="E26" s="126" t="s">
        <v>26</v>
      </c>
      <c r="F26" s="120">
        <v>12</v>
      </c>
      <c r="G26" s="123">
        <v>4000</v>
      </c>
      <c r="H26" s="124" t="str">
        <f t="shared" si="2"/>
        <v>vừa</v>
      </c>
      <c r="I26" s="124"/>
      <c r="J26" s="123">
        <v>1750</v>
      </c>
      <c r="K26" s="125" t="s">
        <v>99</v>
      </c>
      <c r="L26" s="15"/>
      <c r="M26" s="16"/>
      <c r="N26" s="16"/>
      <c r="O26" s="16"/>
      <c r="P26" s="16"/>
      <c r="Q26" s="15">
        <f>F26*G26</f>
        <v>48000</v>
      </c>
      <c r="R26" s="16"/>
      <c r="S26" s="16"/>
    </row>
    <row r="27" spans="1:21" s="41" customFormat="1" x14ac:dyDescent="0.25">
      <c r="A27" s="1"/>
      <c r="B27" s="120">
        <f t="shared" si="3"/>
        <v>7</v>
      </c>
      <c r="C27" s="121" t="s">
        <v>108</v>
      </c>
      <c r="D27" s="120" t="s">
        <v>525</v>
      </c>
      <c r="E27" s="126" t="s">
        <v>109</v>
      </c>
      <c r="F27" s="120">
        <v>6</v>
      </c>
      <c r="G27" s="123">
        <v>980</v>
      </c>
      <c r="H27" s="124" t="str">
        <f t="shared" si="2"/>
        <v>vừa</v>
      </c>
      <c r="I27" s="124"/>
      <c r="J27" s="123">
        <v>60</v>
      </c>
      <c r="K27" s="120"/>
      <c r="L27" s="39"/>
      <c r="M27" s="40"/>
      <c r="N27" s="40"/>
      <c r="O27" s="40"/>
      <c r="P27" s="40"/>
      <c r="Q27" s="15">
        <f>F27*G27</f>
        <v>5880</v>
      </c>
      <c r="R27" s="40"/>
      <c r="S27" s="40"/>
    </row>
    <row r="28" spans="1:21" x14ac:dyDescent="0.25">
      <c r="A28" s="1" t="e">
        <f ca="1">IF(B28&gt;0,SUM(MAX($A$6:A56),1),0)</f>
        <v>#REF!</v>
      </c>
      <c r="B28" s="238">
        <f>B27+1</f>
        <v>8</v>
      </c>
      <c r="C28" s="242" t="s">
        <v>144</v>
      </c>
      <c r="D28" s="238" t="s">
        <v>521</v>
      </c>
      <c r="E28" s="239" t="s">
        <v>26</v>
      </c>
      <c r="F28" s="120">
        <v>1</v>
      </c>
      <c r="G28" s="123">
        <v>980</v>
      </c>
      <c r="H28" s="240" t="str">
        <f>IF(AND(Q28&lt;3600,Q28&gt;0),"nhỏ",IF(AND(Q28&gt;=3600,Q28&lt;72000),"vừa",IF(Q28&lt;&gt;0,"lớn",0)))</f>
        <v>nhỏ</v>
      </c>
      <c r="I28" s="240"/>
      <c r="J28" s="240"/>
      <c r="K28" s="235" t="s">
        <v>74</v>
      </c>
      <c r="L28" s="15"/>
      <c r="M28" s="16"/>
      <c r="N28" s="16"/>
      <c r="O28" s="16"/>
      <c r="P28" s="16"/>
      <c r="Q28" s="15">
        <f>F28*G28+F29*G29</f>
        <v>2480</v>
      </c>
      <c r="R28" s="16"/>
      <c r="S28" s="16"/>
    </row>
    <row r="29" spans="1:21" x14ac:dyDescent="0.25">
      <c r="A29" s="1">
        <f>IF(B29&gt;0,SUM(MAX($A$6:A28),1),0)</f>
        <v>0</v>
      </c>
      <c r="B29" s="238"/>
      <c r="C29" s="242"/>
      <c r="D29" s="238"/>
      <c r="E29" s="239"/>
      <c r="F29" s="120">
        <v>1</v>
      </c>
      <c r="G29" s="123">
        <v>1500</v>
      </c>
      <c r="H29" s="240"/>
      <c r="I29" s="240"/>
      <c r="J29" s="240"/>
      <c r="K29" s="235"/>
      <c r="L29" s="15"/>
      <c r="M29" s="16"/>
      <c r="N29" s="16"/>
      <c r="O29" s="16"/>
      <c r="P29" s="16"/>
      <c r="Q29" s="15"/>
      <c r="R29" s="16"/>
      <c r="S29" s="16"/>
      <c r="U29" s="3"/>
    </row>
    <row r="30" spans="1:21" x14ac:dyDescent="0.25">
      <c r="A30" s="1" t="e">
        <f ca="1">IF(B30&gt;0,SUM(MAX($A$6:A52),1),0)</f>
        <v>#REF!</v>
      </c>
      <c r="B30" s="238">
        <f>B28+1</f>
        <v>9</v>
      </c>
      <c r="C30" s="242" t="s">
        <v>117</v>
      </c>
      <c r="D30" s="238" t="s">
        <v>521</v>
      </c>
      <c r="E30" s="239" t="s">
        <v>26</v>
      </c>
      <c r="F30" s="120">
        <v>3</v>
      </c>
      <c r="G30" s="123">
        <v>980</v>
      </c>
      <c r="H30" s="240" t="str">
        <f>IF(AND(Q30&lt;3600,Q30&gt;0),"nhỏ",IF(AND(Q30&gt;=3600,Q30&lt;72000),"vừa",IF(Q30&lt;&gt;0,"lớn",0)))</f>
        <v>vừa</v>
      </c>
      <c r="I30" s="235">
        <v>171</v>
      </c>
      <c r="J30" s="235">
        <v>171</v>
      </c>
      <c r="K30" s="245" t="s">
        <v>119</v>
      </c>
      <c r="L30" s="15"/>
      <c r="M30" s="16"/>
      <c r="N30" s="16"/>
      <c r="O30" s="16"/>
      <c r="P30" s="16"/>
      <c r="Q30" s="15">
        <f>F30*G30+F31*G31</f>
        <v>4640</v>
      </c>
      <c r="R30" s="16"/>
      <c r="S30" s="16"/>
    </row>
    <row r="31" spans="1:21" x14ac:dyDescent="0.25">
      <c r="A31" s="1">
        <f>IF(B31&gt;0,SUM(MAX($A$6:A30),1),0)</f>
        <v>0</v>
      </c>
      <c r="B31" s="238"/>
      <c r="C31" s="242"/>
      <c r="D31" s="238"/>
      <c r="E31" s="239"/>
      <c r="F31" s="120">
        <v>1</v>
      </c>
      <c r="G31" s="123">
        <v>1700</v>
      </c>
      <c r="H31" s="240"/>
      <c r="I31" s="235"/>
      <c r="J31" s="235"/>
      <c r="K31" s="245"/>
      <c r="L31" s="15"/>
      <c r="M31" s="16"/>
      <c r="N31" s="16"/>
      <c r="O31" s="16"/>
      <c r="P31" s="16"/>
      <c r="Q31" s="15"/>
      <c r="R31" s="16"/>
      <c r="S31" s="16"/>
      <c r="U31" s="3"/>
    </row>
    <row r="32" spans="1:21" ht="19.5" customHeight="1" x14ac:dyDescent="0.25">
      <c r="A32" s="1">
        <f>IF(B32&gt;0,SUM(MAX($A$6:A31),1),0)</f>
        <v>0</v>
      </c>
      <c r="B32" s="120"/>
      <c r="C32" s="121" t="s">
        <v>120</v>
      </c>
      <c r="D32" s="238"/>
      <c r="E32" s="239"/>
      <c r="F32" s="120">
        <v>1</v>
      </c>
      <c r="G32" s="123">
        <v>980</v>
      </c>
      <c r="H32" s="240"/>
      <c r="I32" s="136"/>
      <c r="J32" s="136"/>
      <c r="K32" s="245"/>
      <c r="L32" s="15"/>
      <c r="M32" s="16"/>
      <c r="N32" s="16"/>
      <c r="O32" s="16"/>
      <c r="P32" s="16"/>
      <c r="Q32" s="15"/>
      <c r="R32" s="16"/>
      <c r="S32" s="16"/>
      <c r="U32" s="3"/>
    </row>
    <row r="33" spans="1:21" s="2" customFormat="1" x14ac:dyDescent="0.25">
      <c r="A33" s="1" t="e">
        <f ca="1">IF(B33&gt;0,SUM(MAX($A$6:A52),1),0)</f>
        <v>#REF!</v>
      </c>
      <c r="B33" s="120">
        <f>B30+1</f>
        <v>10</v>
      </c>
      <c r="C33" s="121" t="s">
        <v>121</v>
      </c>
      <c r="D33" s="238" t="s">
        <v>521</v>
      </c>
      <c r="E33" s="239" t="s">
        <v>26</v>
      </c>
      <c r="F33" s="120">
        <v>5</v>
      </c>
      <c r="G33" s="123">
        <v>1500</v>
      </c>
      <c r="H33" s="240" t="str">
        <f>IF(AND(Q33&lt;3600,Q33&gt;0),"nhỏ",IF(AND(Q33&gt;=3600,Q33&lt;72000),"vừa",IF(Q33&lt;&gt;0,"lớn",0)))</f>
        <v>vừa</v>
      </c>
      <c r="I33" s="240"/>
      <c r="J33" s="240"/>
      <c r="K33" s="245" t="s">
        <v>122</v>
      </c>
      <c r="L33" s="23"/>
      <c r="M33" s="24"/>
      <c r="N33" s="24"/>
      <c r="O33" s="24"/>
      <c r="P33" s="24"/>
      <c r="Q33" s="15">
        <f>F33*G33+F34*G34</f>
        <v>9460</v>
      </c>
      <c r="R33" s="24"/>
      <c r="S33" s="24"/>
      <c r="U33" s="18"/>
    </row>
    <row r="34" spans="1:21" s="2" customFormat="1" ht="33" x14ac:dyDescent="0.25">
      <c r="A34" s="1">
        <f>IF(B34&gt;0,SUM(MAX($A$6:A33),1),0)</f>
        <v>0</v>
      </c>
      <c r="B34" s="120"/>
      <c r="C34" s="121" t="s">
        <v>123</v>
      </c>
      <c r="D34" s="238"/>
      <c r="E34" s="239"/>
      <c r="F34" s="120">
        <v>2</v>
      </c>
      <c r="G34" s="123">
        <v>980</v>
      </c>
      <c r="H34" s="240"/>
      <c r="I34" s="240"/>
      <c r="J34" s="240"/>
      <c r="K34" s="245"/>
      <c r="L34" s="23"/>
      <c r="M34" s="24"/>
      <c r="N34" s="24"/>
      <c r="O34" s="24"/>
      <c r="P34" s="24"/>
      <c r="Q34" s="23"/>
      <c r="R34" s="24"/>
      <c r="S34" s="24"/>
    </row>
    <row r="35" spans="1:21" s="2" customFormat="1" x14ac:dyDescent="0.25">
      <c r="A35" s="1" t="e">
        <f ca="1">IF(B35&gt;0,SUM(MAX($A$6:A52),1),0)</f>
        <v>#REF!</v>
      </c>
      <c r="B35" s="120">
        <f>B33+1</f>
        <v>11</v>
      </c>
      <c r="C35" s="121" t="s">
        <v>128</v>
      </c>
      <c r="D35" s="238" t="s">
        <v>522</v>
      </c>
      <c r="E35" s="239" t="s">
        <v>26</v>
      </c>
      <c r="F35" s="120">
        <v>4</v>
      </c>
      <c r="G35" s="123">
        <v>980</v>
      </c>
      <c r="H35" s="240" t="str">
        <f>IF(AND(Q35&lt;3600,Q35&gt;0),"nhỏ",IF(AND(Q35&gt;=3600,Q35&lt;72000),"vừa",IF(Q35&lt;&gt;0,"lớn",0)))</f>
        <v>vừa</v>
      </c>
      <c r="I35" s="123">
        <v>171</v>
      </c>
      <c r="J35" s="123">
        <v>171</v>
      </c>
      <c r="K35" s="245" t="s">
        <v>129</v>
      </c>
      <c r="L35" s="23"/>
      <c r="M35" s="24"/>
      <c r="N35" s="24"/>
      <c r="O35" s="24"/>
      <c r="P35" s="24"/>
      <c r="Q35" s="15">
        <f>F35*G35+F36*G36</f>
        <v>5880</v>
      </c>
      <c r="R35" s="24"/>
      <c r="S35" s="24"/>
      <c r="U35" s="18"/>
    </row>
    <row r="36" spans="1:21" s="2" customFormat="1" x14ac:dyDescent="0.25">
      <c r="A36" s="1">
        <f>IF(B36&gt;0,SUM(MAX($A$6:A35),1),0)</f>
        <v>0</v>
      </c>
      <c r="B36" s="120"/>
      <c r="C36" s="121" t="s">
        <v>130</v>
      </c>
      <c r="D36" s="238"/>
      <c r="E36" s="239"/>
      <c r="F36" s="120">
        <v>2</v>
      </c>
      <c r="G36" s="123">
        <v>980</v>
      </c>
      <c r="H36" s="240"/>
      <c r="I36" s="136"/>
      <c r="J36" s="136"/>
      <c r="K36" s="245"/>
      <c r="L36" s="23"/>
      <c r="M36" s="24"/>
      <c r="N36" s="24"/>
      <c r="O36" s="24"/>
      <c r="P36" s="24"/>
      <c r="Q36" s="23"/>
      <c r="R36" s="24"/>
      <c r="S36" s="24"/>
    </row>
    <row r="37" spans="1:21" s="2" customFormat="1" x14ac:dyDescent="0.25">
      <c r="A37" s="1" t="e">
        <f ca="1">IF(B37&gt;0,SUM(MAX($A$6:A52),1),0)</f>
        <v>#REF!</v>
      </c>
      <c r="B37" s="238">
        <f>B35+1</f>
        <v>12</v>
      </c>
      <c r="C37" s="242" t="s">
        <v>499</v>
      </c>
      <c r="D37" s="238" t="s">
        <v>522</v>
      </c>
      <c r="E37" s="239" t="s">
        <v>26</v>
      </c>
      <c r="F37" s="120">
        <v>5</v>
      </c>
      <c r="G37" s="123">
        <v>980</v>
      </c>
      <c r="H37" s="124" t="str">
        <f>IF(AND(Q37&lt;3600,Q37&gt;0),"nhỏ",IF(AND(Q37&gt;=3600,Q37&lt;72000),"vừa",IF(Q37&lt;&gt;0,"lớn",0)))</f>
        <v>vừa</v>
      </c>
      <c r="I37" s="235">
        <v>211</v>
      </c>
      <c r="J37" s="235">
        <v>211</v>
      </c>
      <c r="K37" s="245" t="s">
        <v>125</v>
      </c>
      <c r="L37" s="23"/>
      <c r="M37" s="24"/>
      <c r="N37" s="24"/>
      <c r="O37" s="24"/>
      <c r="P37" s="24"/>
      <c r="Q37" s="15">
        <f>F37*G37+F38*G38</f>
        <v>6400</v>
      </c>
      <c r="R37" s="24"/>
      <c r="S37" s="24"/>
      <c r="U37" s="18"/>
    </row>
    <row r="38" spans="1:21" s="48" customFormat="1" x14ac:dyDescent="0.25">
      <c r="A38" s="1">
        <f>IF(B38&gt;0,SUM(MAX($A$6:A37),1),0)</f>
        <v>0</v>
      </c>
      <c r="B38" s="238"/>
      <c r="C38" s="242"/>
      <c r="D38" s="238"/>
      <c r="E38" s="239"/>
      <c r="F38" s="120">
        <v>1</v>
      </c>
      <c r="G38" s="123">
        <v>1500</v>
      </c>
      <c r="H38" s="136"/>
      <c r="I38" s="235"/>
      <c r="J38" s="235"/>
      <c r="K38" s="245"/>
      <c r="L38" s="46"/>
      <c r="M38" s="47"/>
      <c r="N38" s="47"/>
      <c r="O38" s="47"/>
      <c r="P38" s="47"/>
      <c r="Q38" s="46"/>
      <c r="R38" s="47"/>
      <c r="S38" s="47"/>
    </row>
    <row r="39" spans="1:21" s="2" customFormat="1" x14ac:dyDescent="0.25">
      <c r="A39" s="1" t="e">
        <f ca="1">IF(B39&gt;0,SUM(MAX($A$6:A38),1),0)</f>
        <v>#REF!</v>
      </c>
      <c r="B39" s="238">
        <f>B37+1</f>
        <v>13</v>
      </c>
      <c r="C39" s="242" t="s">
        <v>500</v>
      </c>
      <c r="D39" s="238" t="s">
        <v>522</v>
      </c>
      <c r="E39" s="239" t="s">
        <v>26</v>
      </c>
      <c r="F39" s="120">
        <v>5</v>
      </c>
      <c r="G39" s="123">
        <v>980</v>
      </c>
      <c r="H39" s="240" t="str">
        <f>IF(AND(Q39&lt;3600,Q39&gt;0),"nhỏ",IF(AND(Q39&gt;=3600,Q39&lt;72000),"vừa",IF(Q39&lt;&gt;0,"lớn",0)))</f>
        <v>vừa</v>
      </c>
      <c r="I39" s="235">
        <v>287</v>
      </c>
      <c r="J39" s="235">
        <v>287</v>
      </c>
      <c r="K39" s="235" t="s">
        <v>127</v>
      </c>
      <c r="L39" s="23"/>
      <c r="M39" s="24"/>
      <c r="N39" s="24"/>
      <c r="O39" s="24"/>
      <c r="P39" s="24"/>
      <c r="Q39" s="15">
        <f>F39*G39+F40*G40</f>
        <v>6400</v>
      </c>
      <c r="R39" s="24"/>
      <c r="S39" s="24"/>
      <c r="U39" s="18"/>
    </row>
    <row r="40" spans="1:21" s="2" customFormat="1" x14ac:dyDescent="0.25">
      <c r="A40" s="1">
        <f>IF(B40&gt;0,SUM(MAX($A$6:A39),1),0)</f>
        <v>0</v>
      </c>
      <c r="B40" s="238"/>
      <c r="C40" s="242"/>
      <c r="D40" s="238"/>
      <c r="E40" s="239"/>
      <c r="F40" s="120">
        <v>1</v>
      </c>
      <c r="G40" s="123">
        <v>1500</v>
      </c>
      <c r="H40" s="240"/>
      <c r="I40" s="235"/>
      <c r="J40" s="235"/>
      <c r="K40" s="235"/>
      <c r="L40" s="23"/>
      <c r="M40" s="24"/>
      <c r="N40" s="24"/>
      <c r="O40" s="24"/>
      <c r="P40" s="24"/>
      <c r="Q40" s="23"/>
      <c r="R40" s="24"/>
      <c r="S40" s="24"/>
    </row>
    <row r="41" spans="1:21" s="2" customFormat="1" x14ac:dyDescent="0.25">
      <c r="A41" s="1" t="e">
        <f ca="1">IF(B41&gt;0,SUM(MAX($A$6:A52),1),0)</f>
        <v>#REF!</v>
      </c>
      <c r="B41" s="238">
        <f>B39+1</f>
        <v>14</v>
      </c>
      <c r="C41" s="242" t="s">
        <v>131</v>
      </c>
      <c r="D41" s="238" t="s">
        <v>522</v>
      </c>
      <c r="E41" s="239" t="s">
        <v>26</v>
      </c>
      <c r="F41" s="120">
        <v>7</v>
      </c>
      <c r="G41" s="123">
        <v>1500</v>
      </c>
      <c r="H41" s="240" t="str">
        <f>IF(AND(Q41&lt;3600,Q41&gt;0),"nhỏ",IF(AND(Q41&gt;=3600,Q41&lt;72000),"vừa",IF(Q41&lt;&gt;0,"lớn",0)))</f>
        <v>vừa</v>
      </c>
      <c r="I41" s="235">
        <v>430</v>
      </c>
      <c r="J41" s="235">
        <v>430</v>
      </c>
      <c r="K41" s="245" t="s">
        <v>132</v>
      </c>
      <c r="L41" s="23"/>
      <c r="M41" s="24"/>
      <c r="N41" s="24"/>
      <c r="O41" s="24"/>
      <c r="P41" s="24"/>
      <c r="Q41" s="15">
        <f>F41*G41+F42*G42</f>
        <v>12460</v>
      </c>
      <c r="R41" s="24"/>
      <c r="S41" s="24"/>
      <c r="U41" s="18"/>
    </row>
    <row r="42" spans="1:21" x14ac:dyDescent="0.25">
      <c r="A42" s="1">
        <f>IF(B42&gt;0,SUM(MAX($A$6:A41),1),0)</f>
        <v>0</v>
      </c>
      <c r="B42" s="238"/>
      <c r="C42" s="242"/>
      <c r="D42" s="238"/>
      <c r="E42" s="239"/>
      <c r="F42" s="120">
        <v>2</v>
      </c>
      <c r="G42" s="123">
        <v>980</v>
      </c>
      <c r="H42" s="240"/>
      <c r="I42" s="235"/>
      <c r="J42" s="235"/>
      <c r="K42" s="245"/>
      <c r="L42" s="15"/>
      <c r="M42" s="16"/>
      <c r="N42" s="16"/>
      <c r="O42" s="16"/>
      <c r="P42" s="16"/>
      <c r="Q42" s="15"/>
      <c r="R42" s="16"/>
      <c r="S42" s="16"/>
      <c r="U42" s="3"/>
    </row>
    <row r="43" spans="1:21" x14ac:dyDescent="0.25">
      <c r="A43" s="1" t="e">
        <f ca="1">IF(B43&gt;0,SUM(MAX($A$6:A52),1),0)</f>
        <v>#REF!</v>
      </c>
      <c r="B43" s="238">
        <f>B41+1</f>
        <v>15</v>
      </c>
      <c r="C43" s="242" t="s">
        <v>501</v>
      </c>
      <c r="D43" s="238" t="s">
        <v>522</v>
      </c>
      <c r="E43" s="239" t="s">
        <v>26</v>
      </c>
      <c r="F43" s="120">
        <v>3</v>
      </c>
      <c r="G43" s="123">
        <v>1950</v>
      </c>
      <c r="H43" s="240" t="str">
        <f t="shared" ref="H43" si="4">IF(AND(Q43&lt;3600,Q43&gt;0),"nhỏ",IF(AND(Q43&gt;=3600,Q43&lt;72000),"vừa",IF(Q43&lt;&gt;0,"lớn",0)))</f>
        <v>vừa</v>
      </c>
      <c r="I43" s="235">
        <v>72</v>
      </c>
      <c r="J43" s="235">
        <v>72</v>
      </c>
      <c r="K43" s="235" t="s">
        <v>135</v>
      </c>
      <c r="L43" s="15"/>
      <c r="M43" s="16"/>
      <c r="N43" s="16"/>
      <c r="O43" s="16"/>
      <c r="P43" s="16"/>
      <c r="Q43" s="15">
        <f>F43*G43+F44*G44+F45*G45</f>
        <v>9770</v>
      </c>
      <c r="R43" s="16"/>
      <c r="S43" s="16"/>
    </row>
    <row r="44" spans="1:21" x14ac:dyDescent="0.25">
      <c r="A44" s="1">
        <f>IF(B44&gt;0,SUM(MAX($A$6:A43),1),0)</f>
        <v>0</v>
      </c>
      <c r="B44" s="238"/>
      <c r="C44" s="242"/>
      <c r="D44" s="238"/>
      <c r="E44" s="239"/>
      <c r="F44" s="120">
        <v>2</v>
      </c>
      <c r="G44" s="123">
        <v>980</v>
      </c>
      <c r="H44" s="240"/>
      <c r="I44" s="235"/>
      <c r="J44" s="235"/>
      <c r="K44" s="235"/>
      <c r="L44" s="15"/>
      <c r="M44" s="16"/>
      <c r="N44" s="16"/>
      <c r="O44" s="16"/>
      <c r="P44" s="16"/>
      <c r="Q44" s="15"/>
      <c r="R44" s="16"/>
      <c r="S44" s="16"/>
      <c r="U44" s="3"/>
    </row>
    <row r="45" spans="1:21" x14ac:dyDescent="0.25">
      <c r="A45" s="1">
        <f>IF(B45&gt;0,SUM(MAX($A$6:A44),1),0)</f>
        <v>0</v>
      </c>
      <c r="B45" s="120"/>
      <c r="C45" s="121" t="s">
        <v>136</v>
      </c>
      <c r="D45" s="238"/>
      <c r="E45" s="239"/>
      <c r="F45" s="120">
        <v>2</v>
      </c>
      <c r="G45" s="123">
        <v>980</v>
      </c>
      <c r="H45" s="240"/>
      <c r="I45" s="235"/>
      <c r="J45" s="235"/>
      <c r="K45" s="235"/>
      <c r="L45" s="15"/>
      <c r="M45" s="16"/>
      <c r="N45" s="16"/>
      <c r="O45" s="16"/>
      <c r="P45" s="16"/>
      <c r="Q45" s="15"/>
      <c r="R45" s="16"/>
      <c r="S45" s="16"/>
      <c r="U45" s="3"/>
    </row>
    <row r="46" spans="1:21" x14ac:dyDescent="0.25">
      <c r="A46" s="1" t="e">
        <f ca="1">IF(B46&gt;0,SUM(MAX($A$6:A56),1),0)</f>
        <v>#REF!</v>
      </c>
      <c r="B46" s="238">
        <f>B43+1</f>
        <v>16</v>
      </c>
      <c r="C46" s="242" t="s">
        <v>141</v>
      </c>
      <c r="D46" s="238" t="s">
        <v>522</v>
      </c>
      <c r="E46" s="239" t="s">
        <v>26</v>
      </c>
      <c r="F46" s="120">
        <v>4</v>
      </c>
      <c r="G46" s="123">
        <v>980</v>
      </c>
      <c r="H46" s="240" t="str">
        <f>IF(AND(Q46&lt;3600,Q46&gt;0),"nhỏ",IF(AND(Q46&gt;=3600,Q46&lt;72000),"vừa",IF(Q46&lt;&gt;0,"lớn",0)))</f>
        <v>vừa</v>
      </c>
      <c r="I46" s="235">
        <v>96</v>
      </c>
      <c r="J46" s="235">
        <v>96</v>
      </c>
      <c r="K46" s="235" t="s">
        <v>142</v>
      </c>
      <c r="L46" s="15"/>
      <c r="M46" s="16"/>
      <c r="N46" s="16"/>
      <c r="O46" s="16"/>
      <c r="P46" s="16"/>
      <c r="Q46" s="15">
        <f>F46*G46+F47*G47+F48*G48</f>
        <v>6400</v>
      </c>
      <c r="R46" s="16"/>
      <c r="S46" s="16"/>
    </row>
    <row r="47" spans="1:21" x14ac:dyDescent="0.25">
      <c r="A47" s="1">
        <f>IF(B47&gt;0,SUM(MAX($A$6:A46),1),0)</f>
        <v>0</v>
      </c>
      <c r="B47" s="238"/>
      <c r="C47" s="242"/>
      <c r="D47" s="238"/>
      <c r="E47" s="239"/>
      <c r="F47" s="120">
        <v>1</v>
      </c>
      <c r="G47" s="123">
        <v>1500</v>
      </c>
      <c r="H47" s="240"/>
      <c r="I47" s="235"/>
      <c r="J47" s="235"/>
      <c r="K47" s="235"/>
      <c r="L47" s="15"/>
      <c r="M47" s="16"/>
      <c r="N47" s="16"/>
      <c r="O47" s="16"/>
      <c r="P47" s="16"/>
      <c r="Q47" s="15"/>
      <c r="R47" s="16"/>
      <c r="S47" s="16"/>
      <c r="U47" s="3"/>
    </row>
    <row r="48" spans="1:21" x14ac:dyDescent="0.25">
      <c r="A48" s="1">
        <f>IF(B48&gt;0,SUM(MAX($A$6:A47),1),0)</f>
        <v>0</v>
      </c>
      <c r="B48" s="120"/>
      <c r="C48" s="121" t="s">
        <v>143</v>
      </c>
      <c r="D48" s="238"/>
      <c r="E48" s="239"/>
      <c r="F48" s="120">
        <v>1</v>
      </c>
      <c r="G48" s="123">
        <v>980</v>
      </c>
      <c r="H48" s="240"/>
      <c r="I48" s="235"/>
      <c r="J48" s="235"/>
      <c r="K48" s="235"/>
      <c r="L48" s="15"/>
      <c r="M48" s="16"/>
      <c r="N48" s="16"/>
      <c r="O48" s="16"/>
      <c r="P48" s="16"/>
      <c r="Q48" s="15"/>
      <c r="R48" s="16"/>
      <c r="S48" s="16"/>
      <c r="U48" s="3"/>
    </row>
    <row r="49" spans="1:33" s="41" customFormat="1" x14ac:dyDescent="0.25">
      <c r="A49" s="1" t="e">
        <f ca="1">IF(B49&gt;0,SUM(MAX($A$6:A27),1),0)</f>
        <v>#REF!</v>
      </c>
      <c r="B49" s="238">
        <f>B46+1</f>
        <v>17</v>
      </c>
      <c r="C49" s="242" t="s">
        <v>114</v>
      </c>
      <c r="D49" s="238" t="s">
        <v>521</v>
      </c>
      <c r="E49" s="238" t="s">
        <v>30</v>
      </c>
      <c r="F49" s="120">
        <v>2</v>
      </c>
      <c r="G49" s="123">
        <v>1700</v>
      </c>
      <c r="H49" s="240" t="str">
        <f>IF(AND(Q49&lt;3600,Q49&gt;0),"nhỏ",IF(AND(Q49&gt;=3600,Q49&lt;72000),"vừa",IF(Q49&lt;&gt;0,"lớn",0)))</f>
        <v>vừa</v>
      </c>
      <c r="I49" s="235">
        <v>157</v>
      </c>
      <c r="J49" s="235">
        <v>157</v>
      </c>
      <c r="K49" s="238"/>
      <c r="L49" s="39"/>
      <c r="M49" s="40"/>
      <c r="N49" s="40"/>
      <c r="O49" s="40"/>
      <c r="P49" s="40"/>
      <c r="Q49" s="15">
        <f>F49*G49+F50*G50</f>
        <v>5360</v>
      </c>
      <c r="R49" s="40"/>
      <c r="S49" s="40"/>
    </row>
    <row r="50" spans="1:33" s="41" customFormat="1" x14ac:dyDescent="0.25">
      <c r="A50" s="1">
        <f>IF(B50&gt;0,SUM(MAX($A$6:A49),1),0)</f>
        <v>0</v>
      </c>
      <c r="B50" s="238"/>
      <c r="C50" s="242"/>
      <c r="D50" s="238"/>
      <c r="E50" s="238"/>
      <c r="F50" s="120">
        <v>2</v>
      </c>
      <c r="G50" s="123">
        <v>980</v>
      </c>
      <c r="H50" s="240"/>
      <c r="I50" s="235"/>
      <c r="J50" s="235"/>
      <c r="K50" s="238"/>
      <c r="L50" s="39"/>
      <c r="M50" s="40"/>
      <c r="N50" s="40"/>
      <c r="O50" s="40"/>
      <c r="P50" s="40"/>
      <c r="Q50" s="39"/>
      <c r="R50" s="40"/>
      <c r="S50" s="40"/>
    </row>
    <row r="51" spans="1:33" s="41" customFormat="1" x14ac:dyDescent="0.25">
      <c r="A51" s="1" t="e">
        <f ca="1">IF(B51&gt;0,SUM(MAX($A$6:A50),1),0)</f>
        <v>#REF!</v>
      </c>
      <c r="B51" s="238">
        <f>B49+1</f>
        <v>18</v>
      </c>
      <c r="C51" s="242" t="s">
        <v>116</v>
      </c>
      <c r="D51" s="238" t="s">
        <v>495</v>
      </c>
      <c r="E51" s="238" t="s">
        <v>30</v>
      </c>
      <c r="F51" s="120">
        <v>1</v>
      </c>
      <c r="G51" s="123">
        <v>1500</v>
      </c>
      <c r="H51" s="240" t="str">
        <f>IF(AND(Q51&lt;3600,Q51&gt;0),"nhỏ",IF(AND(Q51&gt;=3600,Q51&lt;72000),"vừa",IF(Q51&lt;&gt;0,"lớn",0)))</f>
        <v>vừa</v>
      </c>
      <c r="I51" s="235">
        <v>281</v>
      </c>
      <c r="J51" s="235">
        <v>281</v>
      </c>
      <c r="K51" s="238"/>
      <c r="L51" s="39"/>
      <c r="M51" s="40"/>
      <c r="N51" s="40"/>
      <c r="O51" s="40"/>
      <c r="P51" s="40"/>
      <c r="Q51" s="15">
        <f>F51*G51+F52*G52</f>
        <v>8360</v>
      </c>
      <c r="R51" s="40"/>
      <c r="S51" s="40"/>
    </row>
    <row r="52" spans="1:33" s="41" customFormat="1" x14ac:dyDescent="0.25">
      <c r="A52" s="1">
        <f>IF(B52&gt;0,SUM(MAX($A$6:A51),1),0)</f>
        <v>0</v>
      </c>
      <c r="B52" s="238"/>
      <c r="C52" s="242"/>
      <c r="D52" s="238"/>
      <c r="E52" s="238"/>
      <c r="F52" s="120">
        <v>7</v>
      </c>
      <c r="G52" s="123">
        <v>980</v>
      </c>
      <c r="H52" s="240"/>
      <c r="I52" s="235"/>
      <c r="J52" s="235"/>
      <c r="K52" s="238"/>
      <c r="L52" s="39"/>
      <c r="M52" s="40"/>
      <c r="N52" s="40"/>
      <c r="O52" s="40"/>
      <c r="P52" s="40"/>
      <c r="Q52" s="39"/>
      <c r="R52" s="40"/>
      <c r="S52" s="40"/>
    </row>
    <row r="53" spans="1:33" x14ac:dyDescent="0.25">
      <c r="A53" s="1" t="e">
        <f ca="1">IF(B53&gt;0,SUM(MAX($A$6:A142),1),0)</f>
        <v>#REF!</v>
      </c>
      <c r="B53" s="238">
        <f>B51+1</f>
        <v>19</v>
      </c>
      <c r="C53" s="242" t="s">
        <v>138</v>
      </c>
      <c r="D53" s="238" t="s">
        <v>522</v>
      </c>
      <c r="E53" s="238" t="s">
        <v>139</v>
      </c>
      <c r="F53" s="120">
        <v>1</v>
      </c>
      <c r="G53" s="123">
        <v>1500</v>
      </c>
      <c r="H53" s="240" t="str">
        <f>IF(AND(Q53&lt;3600,Q53&gt;0),"nhỏ",IF(AND(Q53&gt;=3600,Q53&lt;72000),"vừa",IF(Q53&lt;&gt;0,"lớn",0)))</f>
        <v>vừa</v>
      </c>
      <c r="I53" s="235">
        <v>167</v>
      </c>
      <c r="J53" s="235">
        <v>167</v>
      </c>
      <c r="K53" s="239"/>
      <c r="L53" s="15"/>
      <c r="M53" s="16"/>
      <c r="N53" s="16"/>
      <c r="O53" s="16"/>
      <c r="P53" s="16"/>
      <c r="Q53" s="15">
        <f>F53*G53+F54*G54+F55*G55</f>
        <v>5240</v>
      </c>
      <c r="R53" s="16"/>
      <c r="S53" s="16"/>
      <c r="U53" s="3"/>
    </row>
    <row r="54" spans="1:33" x14ac:dyDescent="0.25">
      <c r="A54" s="1">
        <f>IF(B54&gt;0,SUM(MAX($A$6:A53),1),0)</f>
        <v>0</v>
      </c>
      <c r="B54" s="238"/>
      <c r="C54" s="242"/>
      <c r="D54" s="238"/>
      <c r="E54" s="238"/>
      <c r="F54" s="120">
        <v>3</v>
      </c>
      <c r="G54" s="123">
        <v>980</v>
      </c>
      <c r="H54" s="240"/>
      <c r="I54" s="235"/>
      <c r="J54" s="235"/>
      <c r="K54" s="239"/>
      <c r="L54" s="15"/>
      <c r="M54" s="16"/>
      <c r="N54" s="16"/>
      <c r="O54" s="16"/>
      <c r="P54" s="16"/>
      <c r="Q54" s="15"/>
      <c r="R54" s="16"/>
      <c r="S54" s="16"/>
      <c r="U54" s="3"/>
    </row>
    <row r="55" spans="1:33" x14ac:dyDescent="0.25">
      <c r="A55" s="1">
        <f>IF(B55&gt;0,SUM(MAX($A$6:A54),1),0)</f>
        <v>0</v>
      </c>
      <c r="B55" s="238"/>
      <c r="C55" s="242"/>
      <c r="D55" s="238"/>
      <c r="E55" s="238"/>
      <c r="F55" s="120">
        <v>1</v>
      </c>
      <c r="G55" s="123">
        <v>800</v>
      </c>
      <c r="H55" s="240"/>
      <c r="I55" s="235"/>
      <c r="J55" s="235"/>
      <c r="K55" s="239"/>
      <c r="L55" s="15"/>
      <c r="M55" s="16"/>
      <c r="N55" s="16"/>
      <c r="O55" s="16"/>
      <c r="P55" s="16"/>
      <c r="Q55" s="15"/>
      <c r="R55" s="16"/>
      <c r="S55" s="16"/>
      <c r="U55" s="3"/>
    </row>
    <row r="56" spans="1:33" s="2" customFormat="1" ht="25.5" customHeight="1" x14ac:dyDescent="0.25">
      <c r="A56" s="1" t="e">
        <f ca="1">IF(B56&gt;0,SUM(MAX($A$6:A55),1),0)</f>
        <v>#REF!</v>
      </c>
      <c r="B56" s="120">
        <f>B53+1</f>
        <v>20</v>
      </c>
      <c r="C56" s="121" t="s">
        <v>140</v>
      </c>
      <c r="D56" s="120" t="s">
        <v>522</v>
      </c>
      <c r="E56" s="120" t="s">
        <v>139</v>
      </c>
      <c r="F56" s="120">
        <v>5</v>
      </c>
      <c r="G56" s="123">
        <v>4000</v>
      </c>
      <c r="H56" s="124" t="str">
        <f>IF(AND(Q56&lt;3600,Q56&gt;0),"nhỏ",IF(AND(Q56&gt;=3600,Q56&lt;72000),"vừa",IF(Q56&lt;&gt;0,"lớn",0)))</f>
        <v>vừa</v>
      </c>
      <c r="I56" s="123">
        <v>866</v>
      </c>
      <c r="J56" s="123">
        <v>866</v>
      </c>
      <c r="K56" s="134"/>
      <c r="L56" s="23"/>
      <c r="M56" s="24"/>
      <c r="N56" s="24"/>
      <c r="O56" s="24"/>
      <c r="P56" s="24"/>
      <c r="Q56" s="23">
        <f>F56*G56</f>
        <v>20000</v>
      </c>
      <c r="R56" s="24"/>
      <c r="S56" s="24"/>
    </row>
    <row r="57" spans="1:33" s="53" customFormat="1" x14ac:dyDescent="0.25">
      <c r="A57" s="1"/>
      <c r="B57" s="131" t="s">
        <v>145</v>
      </c>
      <c r="C57" s="130" t="s">
        <v>526</v>
      </c>
      <c r="D57" s="131" t="str">
        <f>CONCATENATE(COUNT(B57:B180)," trạm")</f>
        <v>82 trạm</v>
      </c>
      <c r="E57" s="131"/>
      <c r="F57" s="132">
        <f>SUM(F58:F180)</f>
        <v>388</v>
      </c>
      <c r="G57" s="125"/>
      <c r="H57" s="137"/>
      <c r="I57" s="137"/>
      <c r="J57" s="137"/>
      <c r="K57" s="138"/>
      <c r="L57" s="51" t="e">
        <f>+#REF!+#REF!+#REF!</f>
        <v>#REF!</v>
      </c>
      <c r="M57" s="51" t="e">
        <f>+#REF!+#REF!+#REF!</f>
        <v>#REF!</v>
      </c>
      <c r="N57" s="51" t="e">
        <f>+#REF!+#REF!+#REF!</f>
        <v>#REF!</v>
      </c>
      <c r="O57" s="52"/>
      <c r="P57" s="52"/>
      <c r="Q57" s="51" t="e">
        <f>+#REF!+#REF!+#REF!</f>
        <v>#REF!</v>
      </c>
      <c r="R57" s="52"/>
      <c r="S57" s="52"/>
    </row>
    <row r="58" spans="1:33" x14ac:dyDescent="0.25">
      <c r="A58" s="1" t="e">
        <f ca="1">IF(B58&gt;0,SUM(MAX($A$6:A22),1),0)</f>
        <v>#REF!</v>
      </c>
      <c r="B58" s="120">
        <v>1</v>
      </c>
      <c r="C58" s="121" t="s">
        <v>94</v>
      </c>
      <c r="D58" s="120" t="s">
        <v>524</v>
      </c>
      <c r="E58" s="120" t="s">
        <v>37</v>
      </c>
      <c r="F58" s="120">
        <v>8</v>
      </c>
      <c r="G58" s="123">
        <v>8000</v>
      </c>
      <c r="H58" s="124" t="str">
        <f>IF(AND(Q58&lt;3600,Q58&gt;0),"nhỏ",IF(AND(Q58&gt;=3600,Q58&lt;72000),"vừa",IF(Q58&lt;&gt;0,"lớn",0)))</f>
        <v>vừa</v>
      </c>
      <c r="I58" s="124"/>
      <c r="J58" s="123">
        <v>789</v>
      </c>
      <c r="K58" s="123" t="s">
        <v>96</v>
      </c>
      <c r="L58" s="15"/>
      <c r="M58" s="16"/>
      <c r="N58" s="16"/>
      <c r="O58" s="16"/>
      <c r="P58" s="16"/>
      <c r="Q58" s="15">
        <f>F58*G58</f>
        <v>64000</v>
      </c>
      <c r="R58" s="16"/>
      <c r="S58" s="16"/>
      <c r="U58" s="3"/>
    </row>
    <row r="59" spans="1:33" x14ac:dyDescent="0.25">
      <c r="A59" s="1" t="e">
        <f ca="1">IF(B59&gt;0,SUM(MAX($A$6:A62),1),0)</f>
        <v>#REF!</v>
      </c>
      <c r="B59" s="120">
        <f>B58+1</f>
        <v>2</v>
      </c>
      <c r="C59" s="121" t="s">
        <v>213</v>
      </c>
      <c r="D59" s="120" t="s">
        <v>213</v>
      </c>
      <c r="E59" s="120" t="s">
        <v>37</v>
      </c>
      <c r="F59" s="120">
        <v>3</v>
      </c>
      <c r="G59" s="123">
        <v>25200</v>
      </c>
      <c r="H59" s="124" t="str">
        <f>IF(AND(Q59&lt;3600,Q59&gt;0),"nhỏ",IF(AND(Q59&gt;=3600,Q59&lt;72000),"vừa",IF(Q59&lt;&gt;0,"lớn",0)))</f>
        <v>lớn</v>
      </c>
      <c r="I59" s="124"/>
      <c r="J59" s="135">
        <v>4200</v>
      </c>
      <c r="K59" s="125" t="s">
        <v>214</v>
      </c>
      <c r="L59" s="15"/>
      <c r="M59" s="16"/>
      <c r="N59" s="16"/>
      <c r="O59" s="16"/>
      <c r="P59" s="16"/>
      <c r="Q59" s="15">
        <f>F59*G59</f>
        <v>75600</v>
      </c>
      <c r="R59" s="16"/>
      <c r="S59" s="16"/>
      <c r="U59" s="3"/>
    </row>
    <row r="60" spans="1:33" x14ac:dyDescent="0.25">
      <c r="A60" s="1" t="e">
        <f ca="1">IF(B60&gt;0,SUM(MAX($A$6:A64),1),0)</f>
        <v>#REF!</v>
      </c>
      <c r="B60" s="238">
        <f>B59+1</f>
        <v>3</v>
      </c>
      <c r="C60" s="242" t="s">
        <v>204</v>
      </c>
      <c r="D60" s="238" t="s">
        <v>237</v>
      </c>
      <c r="E60" s="238" t="s">
        <v>26</v>
      </c>
      <c r="F60" s="120">
        <v>7</v>
      </c>
      <c r="G60" s="123">
        <v>1950</v>
      </c>
      <c r="H60" s="240" t="str">
        <f>IF(AND(Q60&lt;3600,Q60&gt;0),"nhỏ",IF(AND(Q60&gt;=3600,Q60&lt;72000),"vừa",IF(Q60&lt;&gt;0,"lớn",0)))</f>
        <v>vừa</v>
      </c>
      <c r="I60" s="240"/>
      <c r="J60" s="235">
        <v>720</v>
      </c>
      <c r="K60" s="245" t="s">
        <v>205</v>
      </c>
      <c r="L60" s="15"/>
      <c r="M60" s="16"/>
      <c r="N60" s="16"/>
      <c r="O60" s="16"/>
      <c r="P60" s="16"/>
      <c r="Q60" s="55">
        <f>F60*G60+F61*G61</f>
        <v>15250</v>
      </c>
      <c r="R60" s="16"/>
      <c r="S60" s="16"/>
    </row>
    <row r="61" spans="1:33" x14ac:dyDescent="0.25">
      <c r="A61" s="1">
        <f>IF(B61&gt;0,SUM(MAX($A$6:A60),1),0)</f>
        <v>0</v>
      </c>
      <c r="B61" s="238"/>
      <c r="C61" s="242"/>
      <c r="D61" s="238"/>
      <c r="E61" s="238"/>
      <c r="F61" s="120">
        <v>2</v>
      </c>
      <c r="G61" s="123">
        <v>800</v>
      </c>
      <c r="H61" s="240"/>
      <c r="I61" s="240"/>
      <c r="J61" s="235"/>
      <c r="K61" s="245"/>
      <c r="L61" s="15"/>
      <c r="M61" s="16"/>
      <c r="N61" s="16"/>
      <c r="O61" s="16"/>
      <c r="P61" s="16"/>
      <c r="Q61" s="15"/>
      <c r="R61" s="16"/>
      <c r="S61" s="16"/>
      <c r="U61" s="3"/>
    </row>
    <row r="62" spans="1:33" x14ac:dyDescent="0.25">
      <c r="A62" s="1" t="e">
        <f ca="1">IF(B62&gt;0,SUM(MAX($A$6:A69),1),0)</f>
        <v>#REF!</v>
      </c>
      <c r="B62" s="120">
        <f>B60+1</f>
        <v>4</v>
      </c>
      <c r="C62" s="121" t="s">
        <v>211</v>
      </c>
      <c r="D62" s="120" t="s">
        <v>157</v>
      </c>
      <c r="E62" s="120" t="s">
        <v>158</v>
      </c>
      <c r="F62" s="120">
        <v>3</v>
      </c>
      <c r="G62" s="123">
        <v>1200</v>
      </c>
      <c r="H62" s="124" t="str">
        <f>IF(AND(Q62&lt;3600,Q62&gt;0),"nhỏ",IF(AND(Q62&gt;=3600,Q62&lt;72000),"vừa",IF(Q62&lt;&gt;0,"lớn",0)))</f>
        <v>vừa</v>
      </c>
      <c r="I62" s="124"/>
      <c r="J62" s="135">
        <v>84</v>
      </c>
      <c r="K62" s="125" t="s">
        <v>212</v>
      </c>
      <c r="L62" s="15"/>
      <c r="M62" s="16"/>
      <c r="N62" s="16"/>
      <c r="O62" s="16"/>
      <c r="P62" s="16"/>
      <c r="Q62" s="15">
        <f>F62*G62</f>
        <v>3600</v>
      </c>
      <c r="R62" s="16"/>
      <c r="S62" s="16"/>
      <c r="U62" s="3"/>
    </row>
    <row r="63" spans="1:33" x14ac:dyDescent="0.25">
      <c r="A63" s="1" t="e">
        <f ca="1">IF(B63&gt;0,SUM(MAX($A$6:A62),1),0)</f>
        <v>#REF!</v>
      </c>
      <c r="B63" s="120">
        <f>B62+1</f>
        <v>5</v>
      </c>
      <c r="C63" s="121" t="s">
        <v>215</v>
      </c>
      <c r="D63" s="120" t="s">
        <v>157</v>
      </c>
      <c r="E63" s="120" t="s">
        <v>158</v>
      </c>
      <c r="F63" s="120">
        <v>4</v>
      </c>
      <c r="G63" s="123">
        <v>4000</v>
      </c>
      <c r="H63" s="124" t="str">
        <f>IF(AND(Q63&lt;3600,Q63&gt;0),"nhỏ",IF(AND(Q63&gt;=3600,Q63&lt;72000),"vừa",IF(Q63&lt;&gt;0,"lớn",0)))</f>
        <v>vừa</v>
      </c>
      <c r="I63" s="124"/>
      <c r="J63" s="123">
        <v>1750</v>
      </c>
      <c r="K63" s="125" t="s">
        <v>181</v>
      </c>
      <c r="L63" s="15"/>
      <c r="M63" s="16"/>
      <c r="N63" s="16"/>
      <c r="O63" s="16"/>
      <c r="P63" s="16"/>
      <c r="Q63" s="15">
        <f>F63*G63</f>
        <v>16000</v>
      </c>
      <c r="R63" s="16"/>
      <c r="S63" s="16"/>
      <c r="U63" s="3"/>
    </row>
    <row r="64" spans="1:33" x14ac:dyDescent="0.25">
      <c r="A64" s="1" t="e">
        <f ca="1">IF(B64&gt;0,SUM(MAX($A$6:A57),1),0)</f>
        <v>#REF!</v>
      </c>
      <c r="B64" s="120">
        <f>B63+1</f>
        <v>6</v>
      </c>
      <c r="C64" s="121" t="s">
        <v>201</v>
      </c>
      <c r="D64" s="120" t="s">
        <v>237</v>
      </c>
      <c r="E64" s="120" t="s">
        <v>202</v>
      </c>
      <c r="F64" s="120">
        <v>4</v>
      </c>
      <c r="G64" s="123">
        <v>980</v>
      </c>
      <c r="H64" s="124" t="str">
        <f t="shared" ref="H64:H147" si="5">IF(AND(Q64&lt;3600,Q64&gt;0),"nhỏ",IF(AND(Q64&gt;=3600,Q64&lt;72000),"vừa",IF(Q64&lt;&gt;0,"lớn",0)))</f>
        <v>vừa</v>
      </c>
      <c r="I64" s="124"/>
      <c r="J64" s="135">
        <v>168</v>
      </c>
      <c r="K64" s="126"/>
      <c r="L64" s="15"/>
      <c r="M64" s="16"/>
      <c r="N64" s="16"/>
      <c r="O64" s="16"/>
      <c r="P64" s="16"/>
      <c r="Q64" s="55">
        <f t="shared" ref="Q64" si="6">F64*G64</f>
        <v>3920</v>
      </c>
      <c r="R64" s="16"/>
      <c r="S64" s="16"/>
      <c r="U64" s="3"/>
      <c r="W64" s="59"/>
      <c r="X64" s="59"/>
      <c r="Y64" s="59"/>
      <c r="Z64" s="59">
        <v>3</v>
      </c>
      <c r="AA64" s="59">
        <v>980</v>
      </c>
      <c r="AB64" s="59"/>
      <c r="AC64" s="59"/>
      <c r="AD64">
        <f t="shared" ref="AD64" si="7">Z64*AA64</f>
        <v>2940</v>
      </c>
      <c r="AE64"/>
      <c r="AF64"/>
      <c r="AG64"/>
    </row>
    <row r="65" spans="1:21" x14ac:dyDescent="0.25">
      <c r="A65" s="1" t="e">
        <f ca="1">IF(B65&gt;0,SUM(MAX($A$6:A64),1),0)</f>
        <v>#REF!</v>
      </c>
      <c r="B65" s="238">
        <f>B64+1</f>
        <v>7</v>
      </c>
      <c r="C65" s="242" t="s">
        <v>206</v>
      </c>
      <c r="D65" s="238" t="s">
        <v>237</v>
      </c>
      <c r="E65" s="238" t="s">
        <v>202</v>
      </c>
      <c r="F65" s="120">
        <v>2</v>
      </c>
      <c r="G65" s="123">
        <v>980</v>
      </c>
      <c r="H65" s="240" t="str">
        <f t="shared" si="5"/>
        <v>vừa</v>
      </c>
      <c r="I65" s="240"/>
      <c r="J65" s="240"/>
      <c r="K65" s="239"/>
      <c r="L65" s="15"/>
      <c r="M65" s="16"/>
      <c r="N65" s="16"/>
      <c r="O65" s="16"/>
      <c r="P65" s="16"/>
      <c r="Q65" s="55">
        <f>F65*G65+F66*G66</f>
        <v>4200</v>
      </c>
      <c r="R65" s="16"/>
      <c r="S65" s="16"/>
      <c r="U65" s="3"/>
    </row>
    <row r="66" spans="1:21" x14ac:dyDescent="0.25">
      <c r="A66" s="1">
        <f>IF(B66&gt;0,SUM(MAX($A$6:A65),1),0)</f>
        <v>0</v>
      </c>
      <c r="B66" s="238"/>
      <c r="C66" s="242"/>
      <c r="D66" s="238"/>
      <c r="E66" s="238"/>
      <c r="F66" s="120">
        <v>2</v>
      </c>
      <c r="G66" s="123">
        <v>1120</v>
      </c>
      <c r="H66" s="240"/>
      <c r="I66" s="240"/>
      <c r="J66" s="240"/>
      <c r="K66" s="239"/>
      <c r="L66" s="15"/>
      <c r="M66" s="16"/>
      <c r="N66" s="16"/>
      <c r="O66" s="16"/>
      <c r="P66" s="16"/>
      <c r="Q66" s="15"/>
      <c r="R66" s="16"/>
      <c r="S66" s="16"/>
      <c r="U66" s="3"/>
    </row>
    <row r="67" spans="1:21" x14ac:dyDescent="0.25">
      <c r="A67" s="1" t="e">
        <f ca="1">IF(B67&gt;0,SUM(MAX($A$6:A66),1),0)</f>
        <v>#REF!</v>
      </c>
      <c r="B67" s="238">
        <f>B65+1</f>
        <v>8</v>
      </c>
      <c r="C67" s="242" t="s">
        <v>208</v>
      </c>
      <c r="D67" s="238" t="s">
        <v>237</v>
      </c>
      <c r="E67" s="238" t="s">
        <v>202</v>
      </c>
      <c r="F67" s="120">
        <v>2</v>
      </c>
      <c r="G67" s="123">
        <v>980</v>
      </c>
      <c r="H67" s="240" t="str">
        <f t="shared" si="5"/>
        <v>nhỏ</v>
      </c>
      <c r="I67" s="240"/>
      <c r="J67" s="240"/>
      <c r="K67" s="239"/>
      <c r="L67" s="15"/>
      <c r="M67" s="16"/>
      <c r="N67" s="16"/>
      <c r="O67" s="16"/>
      <c r="P67" s="16"/>
      <c r="Q67" s="55">
        <f>F67*G67+F68*G68</f>
        <v>3160</v>
      </c>
      <c r="R67" s="16"/>
      <c r="S67" s="16"/>
      <c r="U67" s="3"/>
    </row>
    <row r="68" spans="1:21" x14ac:dyDescent="0.25">
      <c r="A68" s="1">
        <f>IF(B68&gt;0,SUM(MAX($A$6:A67),1),0)</f>
        <v>0</v>
      </c>
      <c r="B68" s="238"/>
      <c r="C68" s="242"/>
      <c r="D68" s="238"/>
      <c r="E68" s="238"/>
      <c r="F68" s="120">
        <v>1</v>
      </c>
      <c r="G68" s="123">
        <v>1200</v>
      </c>
      <c r="H68" s="240"/>
      <c r="I68" s="240"/>
      <c r="J68" s="240"/>
      <c r="K68" s="239"/>
      <c r="L68" s="15"/>
      <c r="M68" s="16"/>
      <c r="N68" s="16"/>
      <c r="O68" s="16"/>
      <c r="P68" s="16"/>
      <c r="Q68" s="15"/>
      <c r="R68" s="16"/>
      <c r="S68" s="16"/>
      <c r="U68" s="3"/>
    </row>
    <row r="69" spans="1:21" x14ac:dyDescent="0.25">
      <c r="A69" s="1" t="e">
        <f ca="1">IF(B69&gt;0,SUM(MAX($A$6:A68),1),0)</f>
        <v>#REF!</v>
      </c>
      <c r="B69" s="120">
        <f>B67+1</f>
        <v>9</v>
      </c>
      <c r="C69" s="121" t="s">
        <v>209</v>
      </c>
      <c r="D69" s="120" t="s">
        <v>524</v>
      </c>
      <c r="E69" s="120" t="s">
        <v>83</v>
      </c>
      <c r="F69" s="120">
        <v>3</v>
      </c>
      <c r="G69" s="123">
        <v>1400</v>
      </c>
      <c r="H69" s="124" t="str">
        <f t="shared" si="5"/>
        <v>vừa</v>
      </c>
      <c r="I69" s="124"/>
      <c r="J69" s="135">
        <v>100</v>
      </c>
      <c r="K69" s="126"/>
      <c r="L69" s="15"/>
      <c r="M69" s="16"/>
      <c r="N69" s="16"/>
      <c r="O69" s="16"/>
      <c r="P69" s="16"/>
      <c r="Q69" s="15">
        <f>F69*G69</f>
        <v>4200</v>
      </c>
      <c r="R69" s="16"/>
      <c r="S69" s="16"/>
      <c r="U69" s="3"/>
    </row>
    <row r="70" spans="1:21" x14ac:dyDescent="0.25">
      <c r="A70" s="1" t="e">
        <f ca="1">IF(B70&gt;0,SUM(MAX($A$6:A69),1),0)</f>
        <v>#REF!</v>
      </c>
      <c r="B70" s="238">
        <f>B69+1</f>
        <v>10</v>
      </c>
      <c r="C70" s="242" t="s">
        <v>216</v>
      </c>
      <c r="D70" s="238" t="s">
        <v>157</v>
      </c>
      <c r="E70" s="238" t="s">
        <v>217</v>
      </c>
      <c r="F70" s="120">
        <v>1</v>
      </c>
      <c r="G70" s="123">
        <v>1200</v>
      </c>
      <c r="H70" s="240" t="str">
        <f t="shared" si="5"/>
        <v>nhỏ</v>
      </c>
      <c r="I70" s="124"/>
      <c r="J70" s="124"/>
      <c r="K70" s="126"/>
      <c r="L70" s="15"/>
      <c r="M70" s="16"/>
      <c r="N70" s="16"/>
      <c r="O70" s="16"/>
      <c r="P70" s="16"/>
      <c r="Q70" s="15">
        <f>F70*G70+F71*G71</f>
        <v>2180</v>
      </c>
      <c r="R70" s="16"/>
      <c r="S70" s="16"/>
      <c r="U70" s="3"/>
    </row>
    <row r="71" spans="1:21" x14ac:dyDescent="0.25">
      <c r="A71" s="1">
        <f>IF(B71&gt;0,SUM(MAX($A$6:A70),1),0)</f>
        <v>0</v>
      </c>
      <c r="B71" s="238"/>
      <c r="C71" s="242"/>
      <c r="D71" s="238"/>
      <c r="E71" s="238"/>
      <c r="F71" s="120">
        <v>1</v>
      </c>
      <c r="G71" s="123">
        <v>980</v>
      </c>
      <c r="H71" s="240"/>
      <c r="I71" s="124"/>
      <c r="J71" s="124"/>
      <c r="K71" s="126"/>
      <c r="L71" s="15"/>
      <c r="M71" s="16"/>
      <c r="N71" s="16"/>
      <c r="O71" s="16"/>
      <c r="P71" s="16"/>
      <c r="Q71" s="15"/>
      <c r="R71" s="16"/>
      <c r="S71" s="16"/>
      <c r="U71" s="3"/>
    </row>
    <row r="72" spans="1:21" s="2" customFormat="1" x14ac:dyDescent="0.25">
      <c r="A72" s="1" t="e">
        <f ca="1">IF(B72&gt;0,SUM(MAX($A$6:A26),1),0)</f>
        <v>#REF!</v>
      </c>
      <c r="B72" s="238">
        <f>B70+1</f>
        <v>11</v>
      </c>
      <c r="C72" s="242" t="s">
        <v>100</v>
      </c>
      <c r="D72" s="238" t="s">
        <v>524</v>
      </c>
      <c r="E72" s="238" t="s">
        <v>83</v>
      </c>
      <c r="F72" s="120">
        <v>1</v>
      </c>
      <c r="G72" s="123">
        <v>1500</v>
      </c>
      <c r="H72" s="240" t="str">
        <f>IF(AND(Q72&lt;3600,Q72&gt;0),"nhỏ",IF(AND(Q72&gt;=3600,Q72&lt;72000),"vừa",IF(Q72&lt;&gt;0,"lớn",0)))</f>
        <v>nhỏ</v>
      </c>
      <c r="I72" s="240"/>
      <c r="J72" s="235">
        <v>54</v>
      </c>
      <c r="K72" s="248"/>
      <c r="L72" s="23"/>
      <c r="M72" s="24"/>
      <c r="N72" s="24"/>
      <c r="O72" s="24"/>
      <c r="P72" s="24"/>
      <c r="Q72" s="15">
        <f>F72*G72+F73*G73</f>
        <v>2500</v>
      </c>
      <c r="R72" s="24"/>
      <c r="S72" s="24"/>
    </row>
    <row r="73" spans="1:21" s="41" customFormat="1" x14ac:dyDescent="0.25">
      <c r="A73" s="1">
        <f>IF(B73&gt;0,SUM(MAX($A$6:A72),1),0)</f>
        <v>0</v>
      </c>
      <c r="B73" s="238"/>
      <c r="C73" s="242"/>
      <c r="D73" s="238"/>
      <c r="E73" s="238"/>
      <c r="F73" s="120">
        <v>1</v>
      </c>
      <c r="G73" s="123">
        <v>1000</v>
      </c>
      <c r="H73" s="240"/>
      <c r="I73" s="240"/>
      <c r="J73" s="235"/>
      <c r="K73" s="248"/>
      <c r="L73" s="39"/>
      <c r="M73" s="40"/>
      <c r="N73" s="40"/>
      <c r="O73" s="40"/>
      <c r="P73" s="40"/>
      <c r="Q73" s="39"/>
      <c r="R73" s="40"/>
      <c r="S73" s="40"/>
    </row>
    <row r="74" spans="1:21" s="57" customFormat="1" x14ac:dyDescent="0.25">
      <c r="A74" s="1" t="e">
        <f ca="1">IF(B74&gt;0,SUM(MAX($A$6:A118),1),0)</f>
        <v>#REF!</v>
      </c>
      <c r="B74" s="238">
        <f>B72+1</f>
        <v>12</v>
      </c>
      <c r="C74" s="242" t="s">
        <v>234</v>
      </c>
      <c r="D74" s="238" t="s">
        <v>237</v>
      </c>
      <c r="E74" s="238" t="s">
        <v>26</v>
      </c>
      <c r="F74" s="120">
        <v>1</v>
      </c>
      <c r="G74" s="123">
        <v>1200</v>
      </c>
      <c r="H74" s="240" t="str">
        <f>IF(AND(Q74&lt;3600,Q74&gt;0),"nhỏ",IF(AND(Q74&gt;=3600,Q74&lt;72000),"vừa",IF(Q74&lt;&gt;0,"lớn",0)))</f>
        <v>vừa</v>
      </c>
      <c r="I74" s="235">
        <v>150</v>
      </c>
      <c r="J74" s="235">
        <v>150</v>
      </c>
      <c r="K74" s="245" t="s">
        <v>235</v>
      </c>
      <c r="L74" s="55"/>
      <c r="M74" s="56"/>
      <c r="N74" s="56"/>
      <c r="O74" s="56"/>
      <c r="P74" s="56"/>
      <c r="Q74" s="55">
        <f>F74*G74+F75*G75+F76*G76</f>
        <v>8400</v>
      </c>
      <c r="R74" s="56"/>
      <c r="S74" s="56"/>
      <c r="U74" s="101"/>
    </row>
    <row r="75" spans="1:21" s="57" customFormat="1" x14ac:dyDescent="0.25">
      <c r="A75" s="1">
        <f>IF(B75&gt;0,SUM(MAX($A$6:A74),1),0)</f>
        <v>0</v>
      </c>
      <c r="B75" s="238"/>
      <c r="C75" s="242"/>
      <c r="D75" s="238"/>
      <c r="E75" s="238"/>
      <c r="F75" s="120">
        <v>3</v>
      </c>
      <c r="G75" s="123">
        <v>2000</v>
      </c>
      <c r="H75" s="240"/>
      <c r="I75" s="235"/>
      <c r="J75" s="235"/>
      <c r="K75" s="245"/>
      <c r="L75" s="55"/>
      <c r="M75" s="56"/>
      <c r="N75" s="56"/>
      <c r="O75" s="56"/>
      <c r="P75" s="56"/>
      <c r="Q75" s="55"/>
      <c r="R75" s="56"/>
      <c r="S75" s="56"/>
    </row>
    <row r="76" spans="1:21" s="57" customFormat="1" x14ac:dyDescent="0.25">
      <c r="A76" s="1">
        <f>IF(B76&gt;0,SUM(MAX($A$6:A75),1),0)</f>
        <v>0</v>
      </c>
      <c r="B76" s="120"/>
      <c r="C76" s="121" t="s">
        <v>236</v>
      </c>
      <c r="D76" s="238"/>
      <c r="E76" s="238"/>
      <c r="F76" s="120">
        <v>1</v>
      </c>
      <c r="G76" s="123">
        <v>1200</v>
      </c>
      <c r="H76" s="240"/>
      <c r="I76" s="124"/>
      <c r="J76" s="124"/>
      <c r="K76" s="245"/>
      <c r="L76" s="55"/>
      <c r="M76" s="56"/>
      <c r="N76" s="56"/>
      <c r="O76" s="56"/>
      <c r="P76" s="56"/>
      <c r="Q76" s="55"/>
      <c r="R76" s="56"/>
      <c r="S76" s="56"/>
    </row>
    <row r="77" spans="1:21" s="57" customFormat="1" x14ac:dyDescent="0.25">
      <c r="A77" s="1"/>
      <c r="B77" s="238">
        <f>B74+1</f>
        <v>13</v>
      </c>
      <c r="C77" s="242" t="s">
        <v>239</v>
      </c>
      <c r="D77" s="238" t="s">
        <v>237</v>
      </c>
      <c r="E77" s="238" t="s">
        <v>26</v>
      </c>
      <c r="F77" s="120">
        <v>3</v>
      </c>
      <c r="G77" s="123">
        <v>2000</v>
      </c>
      <c r="H77" s="240" t="str">
        <f>IF(AND(Q77&lt;3600,Q77&gt;0),"nhỏ",IF(AND(Q77&gt;=3600,Q77&lt;72000),"vừa",IF(Q77&lt;&gt;0,"lớn",0)))</f>
        <v>vừa</v>
      </c>
      <c r="I77" s="235">
        <v>200</v>
      </c>
      <c r="J77" s="235">
        <v>200</v>
      </c>
      <c r="K77" s="245" t="s">
        <v>240</v>
      </c>
      <c r="L77" s="55"/>
      <c r="M77" s="56"/>
      <c r="N77" s="56"/>
      <c r="O77" s="56"/>
      <c r="P77" s="56"/>
      <c r="Q77" s="55">
        <f>F77*G77+F78*G78+F79*G79</f>
        <v>8600</v>
      </c>
      <c r="R77" s="56"/>
      <c r="S77" s="56"/>
      <c r="U77" s="101"/>
    </row>
    <row r="78" spans="1:21" s="57" customFormat="1" x14ac:dyDescent="0.25">
      <c r="A78" s="1"/>
      <c r="B78" s="238"/>
      <c r="C78" s="242"/>
      <c r="D78" s="238"/>
      <c r="E78" s="238"/>
      <c r="F78" s="120">
        <v>1</v>
      </c>
      <c r="G78" s="123">
        <v>1200</v>
      </c>
      <c r="H78" s="240"/>
      <c r="I78" s="235"/>
      <c r="J78" s="235"/>
      <c r="K78" s="245"/>
      <c r="L78" s="55"/>
      <c r="M78" s="56"/>
      <c r="N78" s="56"/>
      <c r="O78" s="56"/>
      <c r="P78" s="56"/>
      <c r="Q78" s="55"/>
      <c r="R78" s="56"/>
      <c r="S78" s="56"/>
    </row>
    <row r="79" spans="1:21" s="57" customFormat="1" x14ac:dyDescent="0.25">
      <c r="A79" s="1"/>
      <c r="B79" s="120"/>
      <c r="C79" s="121" t="s">
        <v>241</v>
      </c>
      <c r="D79" s="238"/>
      <c r="E79" s="238"/>
      <c r="F79" s="120">
        <v>1</v>
      </c>
      <c r="G79" s="123">
        <v>1400</v>
      </c>
      <c r="H79" s="240"/>
      <c r="I79" s="124"/>
      <c r="J79" s="124"/>
      <c r="K79" s="245"/>
      <c r="L79" s="55"/>
      <c r="M79" s="56"/>
      <c r="N79" s="56"/>
      <c r="O79" s="56"/>
      <c r="P79" s="56"/>
      <c r="Q79" s="55"/>
      <c r="R79" s="56"/>
      <c r="S79" s="56"/>
    </row>
    <row r="80" spans="1:21" s="57" customFormat="1" x14ac:dyDescent="0.25">
      <c r="A80" s="1" t="e">
        <f ca="1">IF(B80&gt;0,SUM(MAX($A$6:A81),1),0)</f>
        <v>#REF!</v>
      </c>
      <c r="B80" s="120">
        <f>B77+1</f>
        <v>14</v>
      </c>
      <c r="C80" s="121" t="s">
        <v>219</v>
      </c>
      <c r="D80" s="120" t="s">
        <v>237</v>
      </c>
      <c r="E80" s="120" t="s">
        <v>26</v>
      </c>
      <c r="F80" s="120">
        <v>7</v>
      </c>
      <c r="G80" s="123">
        <v>980</v>
      </c>
      <c r="H80" s="124" t="str">
        <f>IF(AND(Q80&lt;3600,Q80&gt;0),"nhỏ",IF(AND(Q80&gt;=3600,Q80&lt;72000),"vừa",IF(Q80&lt;&gt;0,"lớn",0)))</f>
        <v>vừa</v>
      </c>
      <c r="I80" s="123">
        <v>200</v>
      </c>
      <c r="J80" s="123">
        <v>200</v>
      </c>
      <c r="K80" s="125" t="s">
        <v>220</v>
      </c>
      <c r="L80" s="55"/>
      <c r="M80" s="56"/>
      <c r="N80" s="56"/>
      <c r="O80" s="56"/>
      <c r="P80" s="56"/>
      <c r="Q80" s="55">
        <f>F80*G80</f>
        <v>6860</v>
      </c>
      <c r="R80" s="56"/>
      <c r="S80" s="56"/>
      <c r="U80" s="101"/>
    </row>
    <row r="81" spans="1:21" s="57" customFormat="1" x14ac:dyDescent="0.25">
      <c r="A81" s="1" t="e">
        <f ca="1">IF(B81&gt;0,SUM(MAX($A$6:A73),1),0)</f>
        <v>#REF!</v>
      </c>
      <c r="B81" s="120">
        <f>B80+1</f>
        <v>15</v>
      </c>
      <c r="C81" s="121" t="s">
        <v>148</v>
      </c>
      <c r="D81" s="120" t="s">
        <v>237</v>
      </c>
      <c r="E81" s="120" t="s">
        <v>26</v>
      </c>
      <c r="F81" s="120">
        <v>7</v>
      </c>
      <c r="G81" s="123">
        <v>980</v>
      </c>
      <c r="H81" s="124" t="str">
        <f t="shared" si="5"/>
        <v>vừa</v>
      </c>
      <c r="I81" s="123">
        <v>230</v>
      </c>
      <c r="J81" s="123">
        <v>230</v>
      </c>
      <c r="K81" s="125" t="s">
        <v>218</v>
      </c>
      <c r="L81" s="55"/>
      <c r="M81" s="56"/>
      <c r="N81" s="56"/>
      <c r="O81" s="56"/>
      <c r="P81" s="56"/>
      <c r="Q81" s="55">
        <f>F81*G81</f>
        <v>6860</v>
      </c>
      <c r="R81" s="56"/>
      <c r="S81" s="56"/>
      <c r="U81" s="101"/>
    </row>
    <row r="82" spans="1:21" s="57" customFormat="1" x14ac:dyDescent="0.25">
      <c r="A82" s="1" t="e">
        <f ca="1">IF(B82&gt;0,SUM(MAX($A$6:A91),1),0)</f>
        <v>#REF!</v>
      </c>
      <c r="B82" s="238">
        <f>B81+1</f>
        <v>16</v>
      </c>
      <c r="C82" s="121" t="s">
        <v>262</v>
      </c>
      <c r="D82" s="238" t="s">
        <v>237</v>
      </c>
      <c r="E82" s="238" t="s">
        <v>26</v>
      </c>
      <c r="F82" s="120">
        <v>1</v>
      </c>
      <c r="G82" s="123">
        <v>1400</v>
      </c>
      <c r="H82" s="240" t="str">
        <f>IF(AND(Q82&lt;3600,Q82&gt;0),"nhỏ",IF(AND(Q82&gt;=3600,Q82&lt;72000),"vừa",IF(Q82&lt;&gt;0,"lớn",0)))</f>
        <v>vừa</v>
      </c>
      <c r="I82" s="123">
        <v>140</v>
      </c>
      <c r="J82" s="123">
        <v>140</v>
      </c>
      <c r="K82" s="125" t="s">
        <v>263</v>
      </c>
      <c r="L82" s="55"/>
      <c r="M82" s="56"/>
      <c r="N82" s="56"/>
      <c r="O82" s="56"/>
      <c r="P82" s="56"/>
      <c r="Q82" s="55">
        <f>F82*G82+F83*G83</f>
        <v>5320</v>
      </c>
      <c r="R82" s="56"/>
      <c r="S82" s="56"/>
      <c r="U82" s="101"/>
    </row>
    <row r="83" spans="1:21" s="57" customFormat="1" x14ac:dyDescent="0.25">
      <c r="A83" s="1">
        <f>IF(B83&gt;0,SUM(MAX($A$6:A82),1),0)</f>
        <v>0</v>
      </c>
      <c r="B83" s="238"/>
      <c r="C83" s="121" t="s">
        <v>260</v>
      </c>
      <c r="D83" s="238"/>
      <c r="E83" s="238"/>
      <c r="F83" s="120">
        <v>4</v>
      </c>
      <c r="G83" s="123">
        <v>980</v>
      </c>
      <c r="H83" s="240"/>
      <c r="I83" s="123">
        <v>140</v>
      </c>
      <c r="J83" s="123">
        <v>140</v>
      </c>
      <c r="K83" s="125" t="s">
        <v>261</v>
      </c>
      <c r="L83" s="55"/>
      <c r="M83" s="56"/>
      <c r="N83" s="56"/>
      <c r="O83" s="56"/>
      <c r="P83" s="56"/>
      <c r="Q83" s="55"/>
      <c r="R83" s="56"/>
      <c r="S83" s="56"/>
    </row>
    <row r="84" spans="1:21" s="57" customFormat="1" x14ac:dyDescent="0.25">
      <c r="A84" s="1" t="e">
        <f ca="1">IF(B84&gt;0,SUM(MAX($A$6:A81),1),0)</f>
        <v>#REF!</v>
      </c>
      <c r="B84" s="120">
        <f>B82+1</f>
        <v>17</v>
      </c>
      <c r="C84" s="121" t="s">
        <v>221</v>
      </c>
      <c r="D84" s="120" t="s">
        <v>237</v>
      </c>
      <c r="E84" s="120" t="s">
        <v>26</v>
      </c>
      <c r="F84" s="120">
        <v>4</v>
      </c>
      <c r="G84" s="123">
        <v>4000</v>
      </c>
      <c r="H84" s="124" t="str">
        <f t="shared" si="5"/>
        <v>vừa</v>
      </c>
      <c r="I84" s="123">
        <v>400</v>
      </c>
      <c r="J84" s="123">
        <v>575</v>
      </c>
      <c r="K84" s="125" t="s">
        <v>222</v>
      </c>
      <c r="L84" s="55"/>
      <c r="M84" s="56"/>
      <c r="N84" s="56"/>
      <c r="O84" s="56"/>
      <c r="P84" s="56"/>
      <c r="Q84" s="55">
        <f>F84*G84</f>
        <v>16000</v>
      </c>
      <c r="R84" s="56"/>
      <c r="S84" s="56"/>
      <c r="U84" s="101"/>
    </row>
    <row r="85" spans="1:21" s="57" customFormat="1" x14ac:dyDescent="0.25">
      <c r="A85" s="1" t="e">
        <f ca="1">IF(B85&gt;0,SUM(MAX($A$6:A91),1),0)</f>
        <v>#REF!</v>
      </c>
      <c r="B85" s="238">
        <f>B84+1</f>
        <v>18</v>
      </c>
      <c r="C85" s="121" t="s">
        <v>256</v>
      </c>
      <c r="D85" s="238" t="s">
        <v>237</v>
      </c>
      <c r="E85" s="238" t="s">
        <v>26</v>
      </c>
      <c r="F85" s="120">
        <v>5</v>
      </c>
      <c r="G85" s="123">
        <v>4000</v>
      </c>
      <c r="H85" s="240" t="str">
        <f>IF(AND(Q85&lt;3600,Q85&gt;0),"nhỏ",IF(AND(Q85&gt;=3600,Q85&lt;72000),"vừa",IF(Q85&lt;&gt;0,"lớn",0)))</f>
        <v>vừa</v>
      </c>
      <c r="I85" s="123">
        <v>290</v>
      </c>
      <c r="J85" s="123">
        <v>852</v>
      </c>
      <c r="K85" s="125" t="s">
        <v>258</v>
      </c>
      <c r="L85" s="55"/>
      <c r="M85" s="56"/>
      <c r="N85" s="56"/>
      <c r="O85" s="56"/>
      <c r="P85" s="56"/>
      <c r="Q85" s="55">
        <f>F85*G85+F86*G86</f>
        <v>22000</v>
      </c>
      <c r="R85" s="56"/>
      <c r="S85" s="56"/>
      <c r="U85" s="101"/>
    </row>
    <row r="86" spans="1:21" s="57" customFormat="1" x14ac:dyDescent="0.25">
      <c r="A86" s="1">
        <f>IF(B86&gt;0,SUM(MAX($A$6:A85),1),0)</f>
        <v>0</v>
      </c>
      <c r="B86" s="238"/>
      <c r="C86" s="121" t="s">
        <v>259</v>
      </c>
      <c r="D86" s="238"/>
      <c r="E86" s="238"/>
      <c r="F86" s="120">
        <v>2</v>
      </c>
      <c r="G86" s="123">
        <v>1000</v>
      </c>
      <c r="H86" s="240"/>
      <c r="I86" s="124"/>
      <c r="J86" s="124"/>
      <c r="K86" s="139"/>
      <c r="L86" s="55"/>
      <c r="M86" s="56"/>
      <c r="N86" s="56"/>
      <c r="O86" s="56"/>
      <c r="P86" s="56"/>
      <c r="Q86" s="55"/>
      <c r="R86" s="56"/>
      <c r="S86" s="56"/>
    </row>
    <row r="87" spans="1:21" s="57" customFormat="1" x14ac:dyDescent="0.25">
      <c r="A87" s="1" t="e">
        <f ca="1">IF(B87&gt;0,SUM(MAX($A$6:A91),1),0)</f>
        <v>#REF!</v>
      </c>
      <c r="B87" s="238">
        <f>B85+1</f>
        <v>19</v>
      </c>
      <c r="C87" s="242" t="s">
        <v>264</v>
      </c>
      <c r="D87" s="238" t="s">
        <v>265</v>
      </c>
      <c r="E87" s="238" t="s">
        <v>26</v>
      </c>
      <c r="F87" s="120">
        <v>3</v>
      </c>
      <c r="G87" s="123">
        <v>2000</v>
      </c>
      <c r="H87" s="240" t="str">
        <f>IF(AND(Q87&lt;3600,Q87&gt;0),"nhỏ",IF(AND(Q87&gt;=3600,Q87&lt;72000),"vừa",IF(Q87&lt;&gt;0,"lớn",0)))</f>
        <v>vừa</v>
      </c>
      <c r="I87" s="235">
        <v>120</v>
      </c>
      <c r="J87" s="235">
        <v>120</v>
      </c>
      <c r="K87" s="235" t="s">
        <v>266</v>
      </c>
      <c r="L87" s="55"/>
      <c r="M87" s="56"/>
      <c r="N87" s="56"/>
      <c r="O87" s="56"/>
      <c r="P87" s="56"/>
      <c r="Q87" s="55">
        <f>F87*G87+F88*G88+F89*G89</f>
        <v>8400</v>
      </c>
      <c r="R87" s="56"/>
      <c r="S87" s="56"/>
      <c r="U87" s="101"/>
    </row>
    <row r="88" spans="1:21" s="57" customFormat="1" x14ac:dyDescent="0.25">
      <c r="A88" s="1">
        <f>IF(B88&gt;0,SUM(MAX($A$6:A87),1),0)</f>
        <v>0</v>
      </c>
      <c r="B88" s="238"/>
      <c r="C88" s="242"/>
      <c r="D88" s="238"/>
      <c r="E88" s="238"/>
      <c r="F88" s="120">
        <v>1</v>
      </c>
      <c r="G88" s="123">
        <v>1200</v>
      </c>
      <c r="H88" s="240"/>
      <c r="I88" s="235"/>
      <c r="J88" s="235"/>
      <c r="K88" s="235"/>
      <c r="L88" s="55"/>
      <c r="M88" s="56"/>
      <c r="N88" s="56"/>
      <c r="O88" s="56"/>
      <c r="P88" s="56"/>
      <c r="Q88" s="55"/>
      <c r="R88" s="56"/>
      <c r="S88" s="56"/>
    </row>
    <row r="89" spans="1:21" s="57" customFormat="1" x14ac:dyDescent="0.25">
      <c r="A89" s="1">
        <f>IF(B89&gt;0,SUM(MAX($A$6:A88),1),0)</f>
        <v>0</v>
      </c>
      <c r="B89" s="238"/>
      <c r="C89" s="121" t="s">
        <v>267</v>
      </c>
      <c r="D89" s="238"/>
      <c r="E89" s="238"/>
      <c r="F89" s="120">
        <v>1</v>
      </c>
      <c r="G89" s="123">
        <v>1200</v>
      </c>
      <c r="H89" s="240"/>
      <c r="I89" s="235"/>
      <c r="J89" s="235"/>
      <c r="K89" s="235"/>
      <c r="L89" s="55"/>
      <c r="M89" s="56"/>
      <c r="N89" s="56"/>
      <c r="O89" s="56"/>
      <c r="P89" s="56"/>
      <c r="Q89" s="55"/>
      <c r="R89" s="56"/>
      <c r="S89" s="56"/>
    </row>
    <row r="90" spans="1:21" s="57" customFormat="1" x14ac:dyDescent="0.25">
      <c r="A90" s="1" t="e">
        <f ca="1">IF(B90&gt;0,SUM(MAX($A$6:A148),1),0)</f>
        <v>#REF!</v>
      </c>
      <c r="B90" s="238">
        <f>B87+1</f>
        <v>20</v>
      </c>
      <c r="C90" s="121" t="s">
        <v>253</v>
      </c>
      <c r="D90" s="238" t="s">
        <v>265</v>
      </c>
      <c r="E90" s="238" t="s">
        <v>26</v>
      </c>
      <c r="F90" s="120">
        <v>6</v>
      </c>
      <c r="G90" s="123">
        <v>3700</v>
      </c>
      <c r="H90" s="240" t="str">
        <f>IF(AND(Q90&lt;3600,Q90&gt;0),"nhỏ",IF(AND(Q90&gt;=3600,Q90&lt;72000),"vừa",IF(Q90&lt;&gt;0,"lớn",0)))</f>
        <v>vừa</v>
      </c>
      <c r="I90" s="123">
        <v>290</v>
      </c>
      <c r="J90" s="123">
        <v>290</v>
      </c>
      <c r="K90" s="245" t="s">
        <v>254</v>
      </c>
      <c r="L90" s="55"/>
      <c r="M90" s="56"/>
      <c r="N90" s="56"/>
      <c r="O90" s="56"/>
      <c r="P90" s="56"/>
      <c r="Q90" s="55">
        <f>F90*G90+F91*G91</f>
        <v>23400</v>
      </c>
      <c r="R90" s="56"/>
      <c r="S90" s="56"/>
      <c r="U90" s="101"/>
    </row>
    <row r="91" spans="1:21" s="57" customFormat="1" x14ac:dyDescent="0.25">
      <c r="A91" s="1">
        <f>IF(B91&gt;0,SUM(MAX($A$6:A90),1),0)</f>
        <v>0</v>
      </c>
      <c r="B91" s="238"/>
      <c r="C91" s="121" t="s">
        <v>255</v>
      </c>
      <c r="D91" s="238"/>
      <c r="E91" s="238"/>
      <c r="F91" s="120">
        <v>1</v>
      </c>
      <c r="G91" s="123">
        <v>1200</v>
      </c>
      <c r="H91" s="240"/>
      <c r="I91" s="124"/>
      <c r="J91" s="124"/>
      <c r="K91" s="245"/>
      <c r="L91" s="55"/>
      <c r="M91" s="56"/>
      <c r="N91" s="56"/>
      <c r="O91" s="56"/>
      <c r="P91" s="56"/>
      <c r="Q91" s="55"/>
      <c r="R91" s="56"/>
      <c r="S91" s="56"/>
    </row>
    <row r="92" spans="1:21" s="57" customFormat="1" x14ac:dyDescent="0.25">
      <c r="A92" s="1" t="e">
        <f ca="1">IF(B92&gt;0,SUM(MAX($A$6:A91),1),0)</f>
        <v>#REF!</v>
      </c>
      <c r="B92" s="238">
        <f>B90+1</f>
        <v>21</v>
      </c>
      <c r="C92" s="242" t="s">
        <v>268</v>
      </c>
      <c r="D92" s="238" t="s">
        <v>265</v>
      </c>
      <c r="E92" s="238" t="s">
        <v>26</v>
      </c>
      <c r="F92" s="120">
        <v>2</v>
      </c>
      <c r="G92" s="123">
        <v>2000</v>
      </c>
      <c r="H92" s="240" t="str">
        <f>IF(AND(Q92&lt;3600,Q92&gt;0),"nhỏ",IF(AND(Q92&gt;=3600,Q92&lt;72000),"vừa",IF(Q92&lt;&gt;0,"lớn",0)))</f>
        <v>vừa</v>
      </c>
      <c r="I92" s="243">
        <v>120</v>
      </c>
      <c r="J92" s="243">
        <v>120</v>
      </c>
      <c r="K92" s="243" t="s">
        <v>269</v>
      </c>
      <c r="L92" s="55"/>
      <c r="M92" s="56"/>
      <c r="N92" s="56"/>
      <c r="O92" s="56"/>
      <c r="P92" s="56"/>
      <c r="Q92" s="55">
        <f>F92*G92+F93*G93</f>
        <v>5200</v>
      </c>
      <c r="R92" s="56"/>
      <c r="S92" s="56"/>
      <c r="U92" s="101"/>
    </row>
    <row r="93" spans="1:21" s="57" customFormat="1" x14ac:dyDescent="0.25">
      <c r="A93" s="1">
        <f>IF(B93&gt;0,SUM(MAX($A$6:A92),1),0)</f>
        <v>0</v>
      </c>
      <c r="B93" s="238"/>
      <c r="C93" s="242"/>
      <c r="D93" s="238"/>
      <c r="E93" s="238"/>
      <c r="F93" s="120">
        <v>1</v>
      </c>
      <c r="G93" s="123">
        <v>1200</v>
      </c>
      <c r="H93" s="240"/>
      <c r="I93" s="243"/>
      <c r="J93" s="243"/>
      <c r="K93" s="243"/>
      <c r="L93" s="55"/>
      <c r="M93" s="56"/>
      <c r="N93" s="56"/>
      <c r="O93" s="56"/>
      <c r="P93" s="56"/>
      <c r="Q93" s="55"/>
      <c r="R93" s="56"/>
      <c r="S93" s="56"/>
    </row>
    <row r="94" spans="1:21" s="57" customFormat="1" x14ac:dyDescent="0.25">
      <c r="A94" s="1" t="e">
        <f ca="1">IF(B94&gt;0,SUM(MAX($A$6:A95),1),0)</f>
        <v>#REF!</v>
      </c>
      <c r="B94" s="120">
        <f>B92+1</f>
        <v>22</v>
      </c>
      <c r="C94" s="121" t="s">
        <v>251</v>
      </c>
      <c r="D94" s="120" t="s">
        <v>265</v>
      </c>
      <c r="E94" s="120" t="s">
        <v>26</v>
      </c>
      <c r="F94" s="120">
        <v>6</v>
      </c>
      <c r="G94" s="123">
        <v>980</v>
      </c>
      <c r="H94" s="124" t="str">
        <f>IF(AND(Q94&lt;3600,Q94&gt;0),"nhỏ",IF(AND(Q94&gt;=3600,Q94&lt;72000),"vừa",IF(Q94&lt;&gt;0,"lớn",0)))</f>
        <v>vừa</v>
      </c>
      <c r="I94" s="124"/>
      <c r="J94" s="124"/>
      <c r="K94" s="125" t="s">
        <v>252</v>
      </c>
      <c r="L94" s="55"/>
      <c r="M94" s="56"/>
      <c r="N94" s="56"/>
      <c r="O94" s="56"/>
      <c r="P94" s="56"/>
      <c r="Q94" s="55">
        <f>F94*G94</f>
        <v>5880</v>
      </c>
      <c r="R94" s="56"/>
      <c r="S94" s="56"/>
      <c r="U94" s="101"/>
    </row>
    <row r="95" spans="1:21" s="57" customFormat="1" x14ac:dyDescent="0.25">
      <c r="A95" s="1" t="e">
        <f ca="1">IF(B95&gt;0,SUM(MAX($A$6:A148),1),0)</f>
        <v>#REF!</v>
      </c>
      <c r="B95" s="120">
        <f>B94+1</f>
        <v>23</v>
      </c>
      <c r="C95" s="121" t="s">
        <v>249</v>
      </c>
      <c r="D95" s="120" t="s">
        <v>265</v>
      </c>
      <c r="E95" s="120" t="s">
        <v>26</v>
      </c>
      <c r="F95" s="120">
        <v>10</v>
      </c>
      <c r="G95" s="123">
        <v>8000</v>
      </c>
      <c r="H95" s="124" t="str">
        <f>IF(AND(Q95&lt;3600,Q95&gt;0),"nhỏ",IF(AND(Q95&gt;=3600,Q95&lt;72000),"vừa",IF(Q95&lt;&gt;0,"lớn",0)))</f>
        <v>lớn</v>
      </c>
      <c r="I95" s="123">
        <v>2800</v>
      </c>
      <c r="J95" s="123">
        <v>3000</v>
      </c>
      <c r="K95" s="125" t="s">
        <v>250</v>
      </c>
      <c r="L95" s="55"/>
      <c r="M95" s="56"/>
      <c r="N95" s="56"/>
      <c r="O95" s="56"/>
      <c r="P95" s="56"/>
      <c r="Q95" s="55">
        <f>F95*G95</f>
        <v>80000</v>
      </c>
      <c r="R95" s="56"/>
      <c r="S95" s="56"/>
      <c r="U95" s="101"/>
    </row>
    <row r="96" spans="1:21" s="57" customFormat="1" x14ac:dyDescent="0.25">
      <c r="A96" s="1"/>
      <c r="B96" s="238">
        <f>B95+1</f>
        <v>24</v>
      </c>
      <c r="C96" s="121" t="s">
        <v>245</v>
      </c>
      <c r="D96" s="238" t="s">
        <v>265</v>
      </c>
      <c r="E96" s="238" t="s">
        <v>26</v>
      </c>
      <c r="F96" s="120">
        <v>14</v>
      </c>
      <c r="G96" s="123">
        <v>4000</v>
      </c>
      <c r="H96" s="240" t="str">
        <f>IF(AND(Q96&lt;3600,Q96&gt;0),"nhỏ",IF(AND(Q96&gt;=3600,Q96&lt;72000),"vừa",IF(Q96&lt;&gt;0,"lớn",0)))</f>
        <v>vừa</v>
      </c>
      <c r="I96" s="235">
        <v>650</v>
      </c>
      <c r="J96" s="235">
        <v>650</v>
      </c>
      <c r="K96" s="245" t="s">
        <v>247</v>
      </c>
      <c r="L96" s="55"/>
      <c r="M96" s="56"/>
      <c r="N96" s="56"/>
      <c r="O96" s="56"/>
      <c r="P96" s="56"/>
      <c r="Q96" s="55">
        <f>F96*G96+F97*G97</f>
        <v>67200</v>
      </c>
      <c r="R96" s="56"/>
      <c r="S96" s="56"/>
      <c r="U96" s="101"/>
    </row>
    <row r="97" spans="1:21" s="57" customFormat="1" x14ac:dyDescent="0.25">
      <c r="A97" s="1">
        <f>IF(B97&gt;0,SUM(MAX($A$6:A139),1),0)</f>
        <v>0</v>
      </c>
      <c r="B97" s="238"/>
      <c r="C97" s="121" t="s">
        <v>248</v>
      </c>
      <c r="D97" s="238"/>
      <c r="E97" s="238"/>
      <c r="F97" s="120">
        <v>8</v>
      </c>
      <c r="G97" s="123">
        <v>1400</v>
      </c>
      <c r="H97" s="240"/>
      <c r="I97" s="235"/>
      <c r="J97" s="235"/>
      <c r="K97" s="245"/>
      <c r="L97" s="55"/>
      <c r="M97" s="56"/>
      <c r="N97" s="56"/>
      <c r="O97" s="56"/>
      <c r="P97" s="56"/>
      <c r="Q97" s="55"/>
      <c r="R97" s="56"/>
      <c r="S97" s="56"/>
    </row>
    <row r="98" spans="1:21" s="57" customFormat="1" x14ac:dyDescent="0.25">
      <c r="A98" s="1" t="e">
        <f ca="1">IF(B98&gt;0,SUM(MAX($A$6:A148),1),0)</f>
        <v>#REF!</v>
      </c>
      <c r="B98" s="120">
        <f>B96+1</f>
        <v>25</v>
      </c>
      <c r="C98" s="121" t="s">
        <v>270</v>
      </c>
      <c r="D98" s="120" t="s">
        <v>265</v>
      </c>
      <c r="E98" s="120" t="s">
        <v>26</v>
      </c>
      <c r="F98" s="120">
        <v>5</v>
      </c>
      <c r="G98" s="123">
        <v>980</v>
      </c>
      <c r="H98" s="124" t="str">
        <f>IF(AND(Q98&lt;3600,Q98&gt;0),"nhỏ",IF(AND(Q98&gt;=3600,Q98&lt;72000),"vừa",IF(Q98&lt;&gt;0,"lớn",0)))</f>
        <v>vừa</v>
      </c>
      <c r="I98" s="123">
        <v>130</v>
      </c>
      <c r="J98" s="123">
        <v>130</v>
      </c>
      <c r="K98" s="125" t="s">
        <v>271</v>
      </c>
      <c r="L98" s="55"/>
      <c r="M98" s="56"/>
      <c r="N98" s="56"/>
      <c r="O98" s="56"/>
      <c r="P98" s="56"/>
      <c r="Q98" s="55">
        <f>G98*F98</f>
        <v>4900</v>
      </c>
      <c r="R98" s="56"/>
      <c r="S98" s="56"/>
      <c r="U98" s="101"/>
    </row>
    <row r="99" spans="1:21" s="57" customFormat="1" x14ac:dyDescent="0.25">
      <c r="A99" s="1" t="e">
        <f ca="1">IF(B99&gt;0,SUM(MAX($A$6:A148),1),0)</f>
        <v>#REF!</v>
      </c>
      <c r="B99" s="238">
        <f>B98+1</f>
        <v>26</v>
      </c>
      <c r="C99" s="121" t="s">
        <v>272</v>
      </c>
      <c r="D99" s="238" t="s">
        <v>265</v>
      </c>
      <c r="E99" s="238" t="s">
        <v>26</v>
      </c>
      <c r="F99" s="120">
        <v>6</v>
      </c>
      <c r="G99" s="123">
        <v>4000</v>
      </c>
      <c r="H99" s="240" t="str">
        <f>IF(AND(Q99&lt;3600,Q99&gt;0),"nhỏ",IF(AND(Q99&gt;=3600,Q99&lt;72000),"vừa",IF(Q99&lt;&gt;0,"lớn",0)))</f>
        <v>vừa</v>
      </c>
      <c r="I99" s="123">
        <v>250</v>
      </c>
      <c r="J99" s="123">
        <v>250</v>
      </c>
      <c r="K99" s="245" t="s">
        <v>273</v>
      </c>
      <c r="L99" s="55"/>
      <c r="M99" s="56"/>
      <c r="N99" s="56"/>
      <c r="O99" s="56"/>
      <c r="P99" s="56"/>
      <c r="Q99" s="55">
        <f>F99*G99+F100*G100</f>
        <v>27000</v>
      </c>
      <c r="R99" s="56"/>
      <c r="S99" s="56"/>
      <c r="U99" s="101"/>
    </row>
    <row r="100" spans="1:21" s="57" customFormat="1" x14ac:dyDescent="0.25">
      <c r="A100" s="1">
        <f>IF(B100&gt;0,SUM(MAX($A$6:A99),1),0)</f>
        <v>0</v>
      </c>
      <c r="B100" s="238"/>
      <c r="C100" s="121" t="s">
        <v>274</v>
      </c>
      <c r="D100" s="238"/>
      <c r="E100" s="238"/>
      <c r="F100" s="120">
        <v>3</v>
      </c>
      <c r="G100" s="123">
        <v>1000</v>
      </c>
      <c r="H100" s="240"/>
      <c r="I100" s="124"/>
      <c r="J100" s="124"/>
      <c r="K100" s="245"/>
      <c r="L100" s="55"/>
      <c r="M100" s="56"/>
      <c r="N100" s="56"/>
      <c r="O100" s="56"/>
      <c r="P100" s="56"/>
      <c r="Q100" s="55"/>
      <c r="R100" s="56"/>
      <c r="S100" s="56"/>
    </row>
    <row r="101" spans="1:21" s="57" customFormat="1" x14ac:dyDescent="0.25">
      <c r="A101" s="1" t="e">
        <f ca="1">IF(B101&gt;0,SUM(MAX($A$6:A149),1),0)</f>
        <v>#REF!</v>
      </c>
      <c r="B101" s="238">
        <f>B99+1</f>
        <v>27</v>
      </c>
      <c r="C101" s="242" t="s">
        <v>283</v>
      </c>
      <c r="D101" s="238" t="s">
        <v>265</v>
      </c>
      <c r="E101" s="238" t="s">
        <v>26</v>
      </c>
      <c r="F101" s="120">
        <v>2</v>
      </c>
      <c r="G101" s="123">
        <v>2500</v>
      </c>
      <c r="H101" s="240" t="str">
        <f>IF(AND(Q101&lt;3600,Q101&gt;0),"nhỏ",IF(AND(Q101&gt;=3600,Q101&lt;72000),"vừa",IF(Q101&lt;&gt;0,"lớn",0)))</f>
        <v>vừa</v>
      </c>
      <c r="I101" s="235">
        <v>180</v>
      </c>
      <c r="J101" s="235">
        <v>180</v>
      </c>
      <c r="K101" s="245" t="s">
        <v>286</v>
      </c>
      <c r="L101" s="55"/>
      <c r="M101" s="56"/>
      <c r="N101" s="56"/>
      <c r="O101" s="56"/>
      <c r="P101" s="56"/>
      <c r="Q101" s="55">
        <f>G101*F101+F102*G102</f>
        <v>10880</v>
      </c>
      <c r="R101" s="56"/>
      <c r="S101" s="56"/>
      <c r="U101" s="101"/>
    </row>
    <row r="102" spans="1:21" s="57" customFormat="1" x14ac:dyDescent="0.25">
      <c r="A102" s="1">
        <f>IF(B102&gt;0,SUM(MAX($A$6:A101),1),0)</f>
        <v>0</v>
      </c>
      <c r="B102" s="238"/>
      <c r="C102" s="242"/>
      <c r="D102" s="238"/>
      <c r="E102" s="238"/>
      <c r="F102" s="120">
        <v>6</v>
      </c>
      <c r="G102" s="123">
        <v>980</v>
      </c>
      <c r="H102" s="240"/>
      <c r="I102" s="235"/>
      <c r="J102" s="235"/>
      <c r="K102" s="245"/>
      <c r="L102" s="55"/>
      <c r="M102" s="56"/>
      <c r="N102" s="56"/>
      <c r="O102" s="56"/>
      <c r="P102" s="56"/>
      <c r="Q102" s="55"/>
      <c r="R102" s="56"/>
      <c r="S102" s="56"/>
    </row>
    <row r="103" spans="1:21" s="57" customFormat="1" x14ac:dyDescent="0.25">
      <c r="A103" s="1" t="e">
        <f ca="1">IF(B103&gt;0,SUM(MAX($A$6:A148),1),0)</f>
        <v>#REF!</v>
      </c>
      <c r="B103" s="120">
        <f>B101+1</f>
        <v>28</v>
      </c>
      <c r="C103" s="121" t="s">
        <v>282</v>
      </c>
      <c r="D103" s="120" t="s">
        <v>265</v>
      </c>
      <c r="E103" s="120" t="s">
        <v>26</v>
      </c>
      <c r="F103" s="120">
        <v>2</v>
      </c>
      <c r="G103" s="123">
        <v>980</v>
      </c>
      <c r="H103" s="124" t="str">
        <f>IF(AND(Q103&lt;3600,Q103&gt;0),"nhỏ",IF(AND(Q103&gt;=3600,Q103&lt;72000),"vừa",IF(Q103&lt;&gt;0,"lớn",0)))</f>
        <v>nhỏ</v>
      </c>
      <c r="I103" s="123">
        <v>80</v>
      </c>
      <c r="J103" s="123">
        <v>80</v>
      </c>
      <c r="K103" s="125" t="s">
        <v>284</v>
      </c>
      <c r="L103" s="55"/>
      <c r="M103" s="56"/>
      <c r="N103" s="56"/>
      <c r="O103" s="56"/>
      <c r="P103" s="56"/>
      <c r="Q103" s="55">
        <f>G103*F103</f>
        <v>1960</v>
      </c>
      <c r="R103" s="56"/>
      <c r="S103" s="56"/>
      <c r="U103" s="101"/>
    </row>
    <row r="104" spans="1:21" s="57" customFormat="1" x14ac:dyDescent="0.25">
      <c r="A104" s="1" t="e">
        <f ca="1">IF(B104&gt;0,SUM(MAX($A$6:A149),1),0)</f>
        <v>#REF!</v>
      </c>
      <c r="B104" s="120">
        <f>B103+1</f>
        <v>29</v>
      </c>
      <c r="C104" s="121" t="s">
        <v>302</v>
      </c>
      <c r="D104" s="120" t="s">
        <v>265</v>
      </c>
      <c r="E104" s="120" t="s">
        <v>26</v>
      </c>
      <c r="F104" s="120">
        <v>2</v>
      </c>
      <c r="G104" s="123">
        <v>980</v>
      </c>
      <c r="H104" s="124" t="str">
        <f>IF(AND(Q104&lt;3600,Q104&gt;0),"nhỏ",IF(AND(Q104&gt;=3600,Q104&lt;72000),"vừa",IF(Q104&lt;&gt;0,"lớn",0)))</f>
        <v>nhỏ</v>
      </c>
      <c r="I104" s="123">
        <v>75</v>
      </c>
      <c r="J104" s="123">
        <v>75</v>
      </c>
      <c r="K104" s="125" t="s">
        <v>303</v>
      </c>
      <c r="L104" s="55"/>
      <c r="M104" s="56"/>
      <c r="N104" s="56"/>
      <c r="O104" s="56"/>
      <c r="P104" s="56"/>
      <c r="Q104" s="55">
        <f>G104*F104</f>
        <v>1960</v>
      </c>
      <c r="R104" s="56"/>
      <c r="S104" s="56"/>
      <c r="U104" s="101"/>
    </row>
    <row r="105" spans="1:21" s="57" customFormat="1" x14ac:dyDescent="0.25">
      <c r="A105" s="1" t="e">
        <f ca="1">IF(B105&gt;0,SUM(MAX($A$6:A149),1),0)</f>
        <v>#REF!</v>
      </c>
      <c r="B105" s="238">
        <f>B104+1</f>
        <v>30</v>
      </c>
      <c r="C105" s="242" t="s">
        <v>287</v>
      </c>
      <c r="D105" s="238" t="s">
        <v>265</v>
      </c>
      <c r="E105" s="238" t="s">
        <v>26</v>
      </c>
      <c r="F105" s="120">
        <v>3</v>
      </c>
      <c r="G105" s="123">
        <v>1200</v>
      </c>
      <c r="H105" s="240" t="str">
        <f>IF(AND(Q105&lt;3600,Q105&gt;0),"nhỏ",IF(AND(Q105&gt;=3600,Q105&lt;72000),"vừa",IF(Q105&lt;&gt;0,"lớn",0)))</f>
        <v>vừa</v>
      </c>
      <c r="I105" s="246">
        <v>130</v>
      </c>
      <c r="J105" s="246">
        <v>130</v>
      </c>
      <c r="K105" s="246" t="s">
        <v>288</v>
      </c>
      <c r="L105" s="55"/>
      <c r="M105" s="56"/>
      <c r="N105" s="56"/>
      <c r="O105" s="56"/>
      <c r="P105" s="56"/>
      <c r="Q105" s="55">
        <f>G105*F105+F106*G106</f>
        <v>5560</v>
      </c>
      <c r="R105" s="56"/>
      <c r="S105" s="56"/>
      <c r="U105" s="101"/>
    </row>
    <row r="106" spans="1:21" s="57" customFormat="1" x14ac:dyDescent="0.25">
      <c r="A106" s="1">
        <f>IF(B106&gt;0,SUM(MAX($A$6:A105),1),0)</f>
        <v>0</v>
      </c>
      <c r="B106" s="238"/>
      <c r="C106" s="242"/>
      <c r="D106" s="238"/>
      <c r="E106" s="238"/>
      <c r="F106" s="120">
        <v>2</v>
      </c>
      <c r="G106" s="123">
        <v>980</v>
      </c>
      <c r="H106" s="240"/>
      <c r="I106" s="246"/>
      <c r="J106" s="246"/>
      <c r="K106" s="246"/>
      <c r="L106" s="55"/>
      <c r="M106" s="56"/>
      <c r="N106" s="56"/>
      <c r="O106" s="56"/>
      <c r="P106" s="56"/>
      <c r="Q106" s="55"/>
      <c r="R106" s="56"/>
      <c r="S106" s="56"/>
    </row>
    <row r="107" spans="1:21" s="57" customFormat="1" ht="22.5" customHeight="1" x14ac:dyDescent="0.25">
      <c r="A107" s="1" t="e">
        <f ca="1">IF(B107&gt;0,SUM(MAX($A$6:A149),1),0)</f>
        <v>#REF!</v>
      </c>
      <c r="B107" s="120">
        <f>B105+1</f>
        <v>31</v>
      </c>
      <c r="C107" s="121" t="s">
        <v>300</v>
      </c>
      <c r="D107" s="120" t="s">
        <v>265</v>
      </c>
      <c r="E107" s="120" t="s">
        <v>26</v>
      </c>
      <c r="F107" s="120">
        <v>6</v>
      </c>
      <c r="G107" s="123">
        <v>980</v>
      </c>
      <c r="H107" s="124" t="str">
        <f>IF(AND(Q107&lt;3600,Q107&gt;0),"nhỏ",IF(AND(Q107&gt;=3600,Q107&lt;72000),"vừa",IF(Q107&lt;&gt;0,"lớn",0)))</f>
        <v>vừa</v>
      </c>
      <c r="I107" s="123">
        <v>200</v>
      </c>
      <c r="J107" s="123">
        <v>200</v>
      </c>
      <c r="K107" s="125" t="s">
        <v>301</v>
      </c>
      <c r="L107" s="55"/>
      <c r="M107" s="56"/>
      <c r="N107" s="56"/>
      <c r="O107" s="56"/>
      <c r="P107" s="56"/>
      <c r="Q107" s="55">
        <f>G107*F107</f>
        <v>5880</v>
      </c>
      <c r="R107" s="56"/>
      <c r="S107" s="56"/>
      <c r="U107" s="101"/>
    </row>
    <row r="108" spans="1:21" s="57" customFormat="1" ht="18.75" customHeight="1" x14ac:dyDescent="0.25">
      <c r="A108" s="1" t="e">
        <f ca="1">IF(B108&gt;0,SUM(MAX($A$6:A149),1),0)</f>
        <v>#REF!</v>
      </c>
      <c r="B108" s="120">
        <f>B107+1</f>
        <v>32</v>
      </c>
      <c r="C108" s="121" t="s">
        <v>294</v>
      </c>
      <c r="D108" s="120" t="s">
        <v>265</v>
      </c>
      <c r="E108" s="120" t="s">
        <v>26</v>
      </c>
      <c r="F108" s="120">
        <v>1</v>
      </c>
      <c r="G108" s="123">
        <v>1200</v>
      </c>
      <c r="H108" s="124" t="str">
        <f>IF(AND(Q108&lt;3600,Q108&gt;0),"nhỏ",IF(AND(Q108&gt;=3600,Q108&lt;72000),"vừa",IF(Q108&lt;&gt;0,"lớn",0)))</f>
        <v>nhỏ</v>
      </c>
      <c r="I108" s="123">
        <v>95</v>
      </c>
      <c r="J108" s="123">
        <v>95</v>
      </c>
      <c r="K108" s="125" t="s">
        <v>295</v>
      </c>
      <c r="L108" s="55"/>
      <c r="M108" s="56"/>
      <c r="N108" s="56"/>
      <c r="O108" s="56"/>
      <c r="P108" s="56"/>
      <c r="Q108" s="55">
        <f>G108*F108</f>
        <v>1200</v>
      </c>
      <c r="R108" s="56"/>
      <c r="S108" s="56"/>
      <c r="U108" s="101"/>
    </row>
    <row r="109" spans="1:21" s="57" customFormat="1" ht="18.75" customHeight="1" x14ac:dyDescent="0.25">
      <c r="A109" s="1" t="e">
        <f ca="1">IF(B109&gt;0,SUM(MAX($A$6:A149),1),0)</f>
        <v>#REF!</v>
      </c>
      <c r="B109" s="120">
        <f>B108+1</f>
        <v>33</v>
      </c>
      <c r="C109" s="121" t="s">
        <v>289</v>
      </c>
      <c r="D109" s="120" t="s">
        <v>265</v>
      </c>
      <c r="E109" s="120" t="s">
        <v>26</v>
      </c>
      <c r="F109" s="120">
        <v>4</v>
      </c>
      <c r="G109" s="123">
        <v>980</v>
      </c>
      <c r="H109" s="124" t="str">
        <f>IF(AND(Q109&lt;3600,Q109&gt;0),"nhỏ",IF(AND(Q109&gt;=3600,Q109&lt;72000),"vừa",IF(Q109&lt;&gt;0,"lớn",0)))</f>
        <v>vừa</v>
      </c>
      <c r="I109" s="123">
        <v>150</v>
      </c>
      <c r="J109" s="123">
        <v>150</v>
      </c>
      <c r="K109" s="125" t="s">
        <v>291</v>
      </c>
      <c r="L109" s="55"/>
      <c r="M109" s="56"/>
      <c r="N109" s="56"/>
      <c r="O109" s="56"/>
      <c r="P109" s="56"/>
      <c r="Q109" s="55">
        <f>G109*F109</f>
        <v>3920</v>
      </c>
      <c r="R109" s="56"/>
      <c r="S109" s="56"/>
      <c r="U109" s="101"/>
    </row>
    <row r="110" spans="1:21" s="57" customFormat="1" ht="18.75" customHeight="1" x14ac:dyDescent="0.25">
      <c r="A110" s="1" t="e">
        <f ca="1">IF(B110&gt;0,SUM(MAX($A$6:A149),1),0)</f>
        <v>#REF!</v>
      </c>
      <c r="B110" s="120">
        <f>B109+1</f>
        <v>34</v>
      </c>
      <c r="C110" s="121" t="s">
        <v>296</v>
      </c>
      <c r="D110" s="120" t="s">
        <v>265</v>
      </c>
      <c r="E110" s="120" t="s">
        <v>26</v>
      </c>
      <c r="F110" s="120">
        <v>6</v>
      </c>
      <c r="G110" s="123">
        <v>1400</v>
      </c>
      <c r="H110" s="124" t="str">
        <f>IF(AND(Q110&lt;3600,Q110&gt;0),"nhỏ",IF(AND(Q110&gt;=3600,Q110&lt;72000),"vừa",IF(Q110&lt;&gt;0,"lớn",0)))</f>
        <v>vừa</v>
      </c>
      <c r="I110" s="123">
        <v>220</v>
      </c>
      <c r="J110" s="123">
        <v>220</v>
      </c>
      <c r="K110" s="125" t="s">
        <v>297</v>
      </c>
      <c r="L110" s="55"/>
      <c r="M110" s="56"/>
      <c r="N110" s="56"/>
      <c r="O110" s="56"/>
      <c r="P110" s="56"/>
      <c r="Q110" s="55">
        <f>G110*F110</f>
        <v>8400</v>
      </c>
      <c r="R110" s="56"/>
      <c r="S110" s="56"/>
      <c r="U110" s="101"/>
    </row>
    <row r="111" spans="1:21" s="57" customFormat="1" x14ac:dyDescent="0.25">
      <c r="A111" s="1" t="e">
        <f ca="1">IF(B111&gt;0,SUM(MAX($A$6:A118),1),0)</f>
        <v>#REF!</v>
      </c>
      <c r="B111" s="238">
        <f>B110+1</f>
        <v>35</v>
      </c>
      <c r="C111" s="121" t="s">
        <v>231</v>
      </c>
      <c r="D111" s="238" t="s">
        <v>237</v>
      </c>
      <c r="E111" s="238" t="s">
        <v>224</v>
      </c>
      <c r="F111" s="120">
        <v>4</v>
      </c>
      <c r="G111" s="123">
        <v>980</v>
      </c>
      <c r="H111" s="240" t="str">
        <f>IF(AND(Q111&lt;3600,Q111&gt;0),"nhỏ",IF(AND(Q111&gt;=3600,Q111&lt;72000),"vừa",IF(Q111&lt;&gt;0,"lớn",0)))</f>
        <v>vừa</v>
      </c>
      <c r="I111" s="123">
        <v>165</v>
      </c>
      <c r="J111" s="123">
        <v>165</v>
      </c>
      <c r="K111" s="245" t="s">
        <v>232</v>
      </c>
      <c r="L111" s="55"/>
      <c r="M111" s="56"/>
      <c r="N111" s="56"/>
      <c r="O111" s="56"/>
      <c r="P111" s="56"/>
      <c r="Q111" s="55">
        <f>F111*G111+F112*G112</f>
        <v>5320</v>
      </c>
      <c r="R111" s="56"/>
      <c r="S111" s="56"/>
    </row>
    <row r="112" spans="1:21" s="57" customFormat="1" x14ac:dyDescent="0.25">
      <c r="A112" s="1">
        <f>IF(B112&gt;0,SUM(MAX($A$6:A111),1),0)</f>
        <v>0</v>
      </c>
      <c r="B112" s="238"/>
      <c r="C112" s="121" t="s">
        <v>233</v>
      </c>
      <c r="D112" s="238"/>
      <c r="E112" s="238"/>
      <c r="F112" s="120">
        <v>1</v>
      </c>
      <c r="G112" s="123">
        <v>1400</v>
      </c>
      <c r="H112" s="240"/>
      <c r="I112" s="124"/>
      <c r="J112" s="124"/>
      <c r="K112" s="245"/>
      <c r="L112" s="55"/>
      <c r="M112" s="56"/>
      <c r="N112" s="56"/>
      <c r="O112" s="56"/>
      <c r="P112" s="56"/>
      <c r="Q112" s="55"/>
      <c r="R112" s="56"/>
      <c r="S112" s="56"/>
    </row>
    <row r="113" spans="1:19" s="57" customFormat="1" ht="22.5" customHeight="1" x14ac:dyDescent="0.25">
      <c r="A113" s="1" t="e">
        <f ca="1">IF(B113&gt;0,SUM(MAX($A$6:A118),1),0)</f>
        <v>#REF!</v>
      </c>
      <c r="B113" s="120">
        <f>B111+1</f>
        <v>36</v>
      </c>
      <c r="C113" s="121" t="s">
        <v>228</v>
      </c>
      <c r="D113" s="120" t="s">
        <v>237</v>
      </c>
      <c r="E113" s="120" t="s">
        <v>224</v>
      </c>
      <c r="F113" s="120">
        <v>3</v>
      </c>
      <c r="G113" s="123">
        <v>980</v>
      </c>
      <c r="H113" s="124" t="str">
        <f>IF(AND(Q113&lt;3600,Q113&gt;0),"nhỏ",IF(AND(Q113&gt;=3600,Q113&lt;72000),"vừa",IF(Q113&lt;&gt;0,"lớn",0)))</f>
        <v>nhỏ</v>
      </c>
      <c r="I113" s="123">
        <v>130</v>
      </c>
      <c r="J113" s="123">
        <v>130</v>
      </c>
      <c r="K113" s="125" t="s">
        <v>230</v>
      </c>
      <c r="L113" s="55"/>
      <c r="M113" s="56"/>
      <c r="N113" s="56"/>
      <c r="O113" s="56"/>
      <c r="P113" s="56"/>
      <c r="Q113" s="55">
        <f>F113*G113</f>
        <v>2940</v>
      </c>
      <c r="R113" s="56"/>
      <c r="S113" s="56"/>
    </row>
    <row r="114" spans="1:19" s="57" customFormat="1" x14ac:dyDescent="0.25">
      <c r="A114" s="1" t="e">
        <f ca="1">IF(B114&gt;0,SUM(MAX($A$6:A84),1),0)</f>
        <v>#REF!</v>
      </c>
      <c r="B114" s="238">
        <f>B113+1</f>
        <v>37</v>
      </c>
      <c r="C114" s="242" t="s">
        <v>223</v>
      </c>
      <c r="D114" s="238" t="s">
        <v>237</v>
      </c>
      <c r="E114" s="238" t="s">
        <v>224</v>
      </c>
      <c r="F114" s="120">
        <v>3</v>
      </c>
      <c r="G114" s="123">
        <v>980</v>
      </c>
      <c r="H114" s="124" t="str">
        <f>IF(AND(Q114&lt;3600,Q114&gt;0),"nhỏ",IF(AND(Q114&gt;=3600,Q114&lt;72000),"vừa",IF(Q114&lt;&gt;0,"lớn",0)))</f>
        <v>vừa</v>
      </c>
      <c r="I114" s="235">
        <v>150</v>
      </c>
      <c r="J114" s="235">
        <v>150</v>
      </c>
      <c r="K114" s="235" t="s">
        <v>225</v>
      </c>
      <c r="L114" s="55"/>
      <c r="M114" s="56"/>
      <c r="N114" s="56"/>
      <c r="O114" s="56"/>
      <c r="P114" s="56"/>
      <c r="Q114" s="55">
        <f>F114*G114+F115*G115</f>
        <v>3940</v>
      </c>
      <c r="R114" s="56"/>
      <c r="S114" s="56"/>
    </row>
    <row r="115" spans="1:19" s="57" customFormat="1" x14ac:dyDescent="0.25">
      <c r="A115" s="1">
        <f>IF(B115&gt;0,SUM(MAX($A$6:A114),1),0)</f>
        <v>0</v>
      </c>
      <c r="B115" s="238"/>
      <c r="C115" s="242"/>
      <c r="D115" s="238"/>
      <c r="E115" s="238"/>
      <c r="F115" s="120">
        <v>1</v>
      </c>
      <c r="G115" s="123">
        <v>1000</v>
      </c>
      <c r="H115" s="124"/>
      <c r="I115" s="235"/>
      <c r="J115" s="235"/>
      <c r="K115" s="235"/>
      <c r="L115" s="55"/>
      <c r="M115" s="56"/>
      <c r="N115" s="56"/>
      <c r="O115" s="56"/>
      <c r="P115" s="56"/>
      <c r="Q115" s="55"/>
      <c r="R115" s="56"/>
      <c r="S115" s="56"/>
    </row>
    <row r="116" spans="1:19" s="57" customFormat="1" x14ac:dyDescent="0.25">
      <c r="A116" s="1" t="e">
        <f ca="1">IF(B116&gt;0,SUM(MAX($A$6:A115),1),0)</f>
        <v>#REF!</v>
      </c>
      <c r="B116" s="238">
        <f>B114+1</f>
        <v>38</v>
      </c>
      <c r="C116" s="242" t="s">
        <v>207</v>
      </c>
      <c r="D116" s="238" t="s">
        <v>237</v>
      </c>
      <c r="E116" s="238" t="s">
        <v>224</v>
      </c>
      <c r="F116" s="120">
        <v>5</v>
      </c>
      <c r="G116" s="123">
        <v>960</v>
      </c>
      <c r="H116" s="240" t="str">
        <f t="shared" si="5"/>
        <v>vừa</v>
      </c>
      <c r="I116" s="235">
        <v>350</v>
      </c>
      <c r="J116" s="235">
        <v>350</v>
      </c>
      <c r="K116" s="235" t="s">
        <v>226</v>
      </c>
      <c r="L116" s="55"/>
      <c r="M116" s="56"/>
      <c r="N116" s="56"/>
      <c r="O116" s="56"/>
      <c r="P116" s="56"/>
      <c r="Q116" s="55">
        <f>F116*G116+F117*G117+F118*G118</f>
        <v>10200</v>
      </c>
      <c r="R116" s="56"/>
      <c r="S116" s="56"/>
    </row>
    <row r="117" spans="1:19" s="57" customFormat="1" x14ac:dyDescent="0.25">
      <c r="A117" s="1">
        <f>IF(B117&gt;0,SUM(MAX($A$6:A116),1),0)</f>
        <v>0</v>
      </c>
      <c r="B117" s="238"/>
      <c r="C117" s="242"/>
      <c r="D117" s="238"/>
      <c r="E117" s="238"/>
      <c r="F117" s="120">
        <v>5</v>
      </c>
      <c r="G117" s="123">
        <v>800</v>
      </c>
      <c r="H117" s="240"/>
      <c r="I117" s="235"/>
      <c r="J117" s="235"/>
      <c r="K117" s="235"/>
      <c r="L117" s="55"/>
      <c r="M117" s="56"/>
      <c r="N117" s="56"/>
      <c r="O117" s="56"/>
      <c r="P117" s="56"/>
      <c r="Q117" s="55"/>
      <c r="R117" s="56"/>
      <c r="S117" s="56"/>
    </row>
    <row r="118" spans="1:19" s="57" customFormat="1" x14ac:dyDescent="0.25">
      <c r="A118" s="1">
        <f>IF(B118&gt;0,SUM(MAX($A$6:A117),1),0)</f>
        <v>0</v>
      </c>
      <c r="B118" s="238"/>
      <c r="C118" s="121" t="s">
        <v>227</v>
      </c>
      <c r="D118" s="238"/>
      <c r="E118" s="238"/>
      <c r="F118" s="120">
        <v>1</v>
      </c>
      <c r="G118" s="123">
        <v>1400</v>
      </c>
      <c r="H118" s="240"/>
      <c r="I118" s="124"/>
      <c r="J118" s="124"/>
      <c r="K118" s="235"/>
      <c r="L118" s="55"/>
      <c r="M118" s="56"/>
      <c r="N118" s="56"/>
      <c r="O118" s="56"/>
      <c r="P118" s="56"/>
      <c r="Q118" s="55"/>
      <c r="R118" s="56"/>
      <c r="S118" s="56"/>
    </row>
    <row r="119" spans="1:19" s="57" customFormat="1" x14ac:dyDescent="0.25">
      <c r="A119" s="1" t="e">
        <f ca="1">IF(B119&gt;0,SUM(MAX($A$6:A149),1),0)</f>
        <v>#REF!</v>
      </c>
      <c r="B119" s="120">
        <f>B116+1</f>
        <v>39</v>
      </c>
      <c r="C119" s="121" t="s">
        <v>298</v>
      </c>
      <c r="D119" s="120" t="s">
        <v>265</v>
      </c>
      <c r="E119" s="120" t="s">
        <v>158</v>
      </c>
      <c r="F119" s="120">
        <v>3</v>
      </c>
      <c r="G119" s="123">
        <v>980</v>
      </c>
      <c r="H119" s="124" t="str">
        <f>IF(AND(Q119&lt;3600,Q119&gt;0),"nhỏ",IF(AND(Q119&gt;=3600,Q119&lt;72000),"vừa",IF(Q119&lt;&gt;0,"lớn",0)))</f>
        <v>nhỏ</v>
      </c>
      <c r="I119" s="123">
        <v>150</v>
      </c>
      <c r="J119" s="123">
        <v>150</v>
      </c>
      <c r="K119" s="123" t="s">
        <v>299</v>
      </c>
      <c r="L119" s="55"/>
      <c r="M119" s="56"/>
      <c r="N119" s="56"/>
      <c r="O119" s="56"/>
      <c r="P119" s="56"/>
      <c r="Q119" s="55">
        <f>G119*F119</f>
        <v>2940</v>
      </c>
      <c r="R119" s="56"/>
      <c r="S119" s="56"/>
    </row>
    <row r="120" spans="1:19" s="57" customFormat="1" x14ac:dyDescent="0.25">
      <c r="A120" s="1" t="e">
        <f ca="1">IF(B120&gt;0,SUM(MAX($A$6:A149),1),0)</f>
        <v>#REF!</v>
      </c>
      <c r="B120" s="120">
        <f>B119+1</f>
        <v>40</v>
      </c>
      <c r="C120" s="121" t="s">
        <v>304</v>
      </c>
      <c r="D120" s="120" t="s">
        <v>265</v>
      </c>
      <c r="E120" s="120" t="s">
        <v>158</v>
      </c>
      <c r="F120" s="120">
        <v>3</v>
      </c>
      <c r="G120" s="123">
        <v>980</v>
      </c>
      <c r="H120" s="124" t="str">
        <f>IF(AND(Q120&lt;3600,Q120&gt;0),"nhỏ",IF(AND(Q120&gt;=3600,Q120&lt;72000),"vừa",IF(Q120&lt;&gt;0,"lớn",0)))</f>
        <v>nhỏ</v>
      </c>
      <c r="I120" s="123">
        <v>140</v>
      </c>
      <c r="J120" s="123">
        <v>140</v>
      </c>
      <c r="K120" s="123" t="s">
        <v>305</v>
      </c>
      <c r="L120" s="55"/>
      <c r="M120" s="56"/>
      <c r="N120" s="56"/>
      <c r="O120" s="56"/>
      <c r="P120" s="56"/>
      <c r="Q120" s="55">
        <f t="shared" ref="Q120" si="8">G120*F120</f>
        <v>2940</v>
      </c>
      <c r="R120" s="56"/>
      <c r="S120" s="56"/>
    </row>
    <row r="121" spans="1:19" s="57" customFormat="1" x14ac:dyDescent="0.25">
      <c r="A121" s="1" t="e">
        <f ca="1">IF(B121&gt;0,SUM(MAX($A$6:A148),1),0)</f>
        <v>#REF!</v>
      </c>
      <c r="B121" s="238">
        <f>B120+1</f>
        <v>41</v>
      </c>
      <c r="C121" s="242" t="s">
        <v>280</v>
      </c>
      <c r="D121" s="238" t="s">
        <v>157</v>
      </c>
      <c r="E121" s="238" t="s">
        <v>158</v>
      </c>
      <c r="F121" s="120">
        <v>3</v>
      </c>
      <c r="G121" s="123">
        <v>980</v>
      </c>
      <c r="H121" s="240" t="str">
        <f>IF(AND(Q121&lt;3600,Q121&gt;0),"nhỏ",IF(AND(Q121&gt;=3600,Q121&lt;72000),"vừa",IF(Q121&lt;&gt;0,"lớn",0)))</f>
        <v>vừa</v>
      </c>
      <c r="I121" s="235">
        <v>240</v>
      </c>
      <c r="J121" s="235">
        <v>240</v>
      </c>
      <c r="K121" s="235" t="s">
        <v>281</v>
      </c>
      <c r="L121" s="55"/>
      <c r="M121" s="56"/>
      <c r="N121" s="56"/>
      <c r="O121" s="56"/>
      <c r="P121" s="56"/>
      <c r="Q121" s="55">
        <f>G121*F121+F122*G122</f>
        <v>4860</v>
      </c>
      <c r="R121" s="56"/>
      <c r="S121" s="56"/>
    </row>
    <row r="122" spans="1:19" s="57" customFormat="1" x14ac:dyDescent="0.25">
      <c r="A122" s="1">
        <f>IF(B122&gt;0,SUM(MAX($A$6:A121),1),0)</f>
        <v>0</v>
      </c>
      <c r="B122" s="238"/>
      <c r="C122" s="242"/>
      <c r="D122" s="238"/>
      <c r="E122" s="238"/>
      <c r="F122" s="120">
        <v>2</v>
      </c>
      <c r="G122" s="123">
        <v>960</v>
      </c>
      <c r="H122" s="240"/>
      <c r="I122" s="235"/>
      <c r="J122" s="235"/>
      <c r="K122" s="235"/>
      <c r="L122" s="55"/>
      <c r="M122" s="56"/>
      <c r="N122" s="56"/>
      <c r="O122" s="56"/>
      <c r="P122" s="56"/>
      <c r="Q122" s="55"/>
      <c r="R122" s="56"/>
      <c r="S122" s="56"/>
    </row>
    <row r="123" spans="1:19" s="57" customFormat="1" x14ac:dyDescent="0.25">
      <c r="A123" s="1" t="e">
        <f ca="1">IF(B123&gt;0,SUM(MAX($A$6:A149),1),0)</f>
        <v>#REF!</v>
      </c>
      <c r="B123" s="120">
        <f>B121+1</f>
        <v>42</v>
      </c>
      <c r="C123" s="121" t="s">
        <v>292</v>
      </c>
      <c r="D123" s="120" t="s">
        <v>265</v>
      </c>
      <c r="E123" s="120" t="s">
        <v>158</v>
      </c>
      <c r="F123" s="120">
        <v>4</v>
      </c>
      <c r="G123" s="123">
        <v>1500</v>
      </c>
      <c r="H123" s="124" t="str">
        <f>IF(AND(Q123&lt;3600,Q123&gt;0),"nhỏ",IF(AND(Q123&gt;=3600,Q123&lt;72000),"vừa",IF(Q123&lt;&gt;0,"lớn",0)))</f>
        <v>vừa</v>
      </c>
      <c r="I123" s="123">
        <v>180</v>
      </c>
      <c r="J123" s="123">
        <v>180</v>
      </c>
      <c r="K123" s="125" t="s">
        <v>293</v>
      </c>
      <c r="L123" s="55"/>
      <c r="M123" s="56"/>
      <c r="N123" s="56"/>
      <c r="O123" s="56"/>
      <c r="P123" s="56"/>
      <c r="Q123" s="55">
        <f>G123*F123</f>
        <v>6000</v>
      </c>
      <c r="R123" s="56"/>
      <c r="S123" s="56"/>
    </row>
    <row r="124" spans="1:19" s="57" customFormat="1" x14ac:dyDescent="0.25">
      <c r="A124" s="1" t="e">
        <f ca="1">IF(B124&gt;0,SUM(MAX($A$6:A148),1),0)</f>
        <v>#REF!</v>
      </c>
      <c r="B124" s="120">
        <f>B123+1</f>
        <v>43</v>
      </c>
      <c r="C124" s="121" t="s">
        <v>276</v>
      </c>
      <c r="D124" s="120" t="s">
        <v>157</v>
      </c>
      <c r="E124" s="120" t="s">
        <v>158</v>
      </c>
      <c r="F124" s="120">
        <v>4</v>
      </c>
      <c r="G124" s="123">
        <v>1400</v>
      </c>
      <c r="H124" s="124" t="str">
        <f>IF(AND(Q124&lt;3600,Q124&gt;0),"nhỏ",IF(AND(Q124&gt;=3600,Q124&lt;72000),"vừa",IF(Q124&lt;&gt;0,"lớn",0)))</f>
        <v>vừa</v>
      </c>
      <c r="I124" s="123">
        <v>230</v>
      </c>
      <c r="J124" s="123">
        <v>230</v>
      </c>
      <c r="K124" s="125" t="s">
        <v>277</v>
      </c>
      <c r="L124" s="55"/>
      <c r="M124" s="56"/>
      <c r="N124" s="56"/>
      <c r="O124" s="56"/>
      <c r="P124" s="56"/>
      <c r="Q124" s="55">
        <f>G124*F124</f>
        <v>5600</v>
      </c>
      <c r="R124" s="56"/>
      <c r="S124" s="56"/>
    </row>
    <row r="125" spans="1:19" s="57" customFormat="1" x14ac:dyDescent="0.25">
      <c r="A125" s="1" t="e">
        <f ca="1">IF(B125&gt;0,SUM(MAX($A$6:A148),1),0)</f>
        <v>#REF!</v>
      </c>
      <c r="B125" s="120">
        <f>B124+1</f>
        <v>44</v>
      </c>
      <c r="C125" s="121" t="s">
        <v>278</v>
      </c>
      <c r="D125" s="120" t="s">
        <v>157</v>
      </c>
      <c r="E125" s="120" t="s">
        <v>158</v>
      </c>
      <c r="F125" s="120">
        <v>4</v>
      </c>
      <c r="G125" s="123">
        <v>4000</v>
      </c>
      <c r="H125" s="124" t="str">
        <f>IF(AND(Q125&lt;3600,Q125&gt;0),"nhỏ",IF(AND(Q125&gt;=3600,Q125&lt;72000),"vừa",IF(Q125&lt;&gt;0,"lớn",0)))</f>
        <v>vừa</v>
      </c>
      <c r="I125" s="123">
        <v>160</v>
      </c>
      <c r="J125" s="123">
        <v>160</v>
      </c>
      <c r="K125" s="125" t="s">
        <v>279</v>
      </c>
      <c r="L125" s="55"/>
      <c r="M125" s="56"/>
      <c r="N125" s="56"/>
      <c r="O125" s="56"/>
      <c r="P125" s="56"/>
      <c r="Q125" s="55">
        <f>G125*F125</f>
        <v>16000</v>
      </c>
      <c r="R125" s="56"/>
      <c r="S125" s="56"/>
    </row>
    <row r="126" spans="1:19" s="57" customFormat="1" x14ac:dyDescent="0.25">
      <c r="A126" s="1" t="e">
        <f ca="1">IF(B126&gt;0,SUM(MAX($A$6:A174),1),0)</f>
        <v>#REF!</v>
      </c>
      <c r="B126" s="120">
        <f>B125+1</f>
        <v>45</v>
      </c>
      <c r="C126" s="121" t="s">
        <v>331</v>
      </c>
      <c r="D126" s="120" t="s">
        <v>157</v>
      </c>
      <c r="E126" s="120" t="s">
        <v>158</v>
      </c>
      <c r="F126" s="120">
        <v>4</v>
      </c>
      <c r="G126" s="123">
        <v>4000</v>
      </c>
      <c r="H126" s="124" t="str">
        <f>IF(AND(Q126&lt;3600,Q126&gt;0),"nhỏ",IF(AND(Q126&gt;=3600,Q126&lt;72000),"vừa",IF(Q126&lt;&gt;0,"lớn",0)))</f>
        <v>vừa</v>
      </c>
      <c r="I126" s="123">
        <v>210</v>
      </c>
      <c r="J126" s="123">
        <v>210</v>
      </c>
      <c r="K126" s="123" t="s">
        <v>190</v>
      </c>
      <c r="L126" s="55"/>
      <c r="M126" s="56"/>
      <c r="N126" s="56"/>
      <c r="O126" s="56"/>
      <c r="P126" s="56"/>
      <c r="Q126" s="55">
        <f>F126*G126</f>
        <v>16000</v>
      </c>
      <c r="R126" s="56"/>
      <c r="S126" s="56"/>
    </row>
    <row r="127" spans="1:19" s="57" customFormat="1" ht="16.5" customHeight="1" x14ac:dyDescent="0.25">
      <c r="A127" s="1" t="e">
        <f ca="1">IF(B127&gt;0,SUM(MAX($A$6:A149),1),0)</f>
        <v>#REF!</v>
      </c>
      <c r="B127" s="238">
        <f>B126+1</f>
        <v>46</v>
      </c>
      <c r="C127" s="140" t="s">
        <v>508</v>
      </c>
      <c r="D127" s="238" t="s">
        <v>157</v>
      </c>
      <c r="E127" s="238" t="s">
        <v>175</v>
      </c>
      <c r="F127" s="120">
        <v>2</v>
      </c>
      <c r="G127" s="123">
        <v>980</v>
      </c>
      <c r="H127" s="240" t="str">
        <f>IF(AND(Q127&lt;3600,Q127&gt;0),"nhỏ",IF(AND(Q127&gt;=3600,Q127&lt;72000),"vừa",IF(Q127&lt;&gt;0,"lớn",0)))</f>
        <v>nhỏ</v>
      </c>
      <c r="I127" s="123">
        <v>70</v>
      </c>
      <c r="J127" s="124"/>
      <c r="K127" s="125"/>
      <c r="L127" s="55"/>
      <c r="M127" s="56"/>
      <c r="N127" s="56"/>
      <c r="O127" s="56"/>
      <c r="P127" s="56"/>
      <c r="Q127" s="55">
        <f>G127*F127+F128*G128</f>
        <v>3160</v>
      </c>
      <c r="R127" s="56"/>
      <c r="S127" s="56"/>
    </row>
    <row r="128" spans="1:19" s="57" customFormat="1" x14ac:dyDescent="0.25">
      <c r="A128" s="1">
        <f>IF(B128&gt;0,SUM(MAX($A$6:A127),1),0)</f>
        <v>0</v>
      </c>
      <c r="B128" s="238"/>
      <c r="C128" s="140" t="s">
        <v>509</v>
      </c>
      <c r="D128" s="238"/>
      <c r="E128" s="238"/>
      <c r="F128" s="120">
        <v>1</v>
      </c>
      <c r="G128" s="123">
        <v>1200</v>
      </c>
      <c r="H128" s="240"/>
      <c r="I128" s="124"/>
      <c r="J128" s="124"/>
      <c r="K128" s="139"/>
      <c r="L128" s="55"/>
      <c r="M128" s="56"/>
      <c r="N128" s="56"/>
      <c r="O128" s="56"/>
      <c r="P128" s="56"/>
      <c r="Q128" s="55"/>
      <c r="R128" s="56"/>
      <c r="S128" s="56"/>
    </row>
    <row r="129" spans="1:21" s="57" customFormat="1" x14ac:dyDescent="0.25">
      <c r="A129" s="1" t="e">
        <f ca="1">IF(B129&gt;0,SUM(MAX($A$6:A128),1),0)</f>
        <v>#REF!</v>
      </c>
      <c r="B129" s="238">
        <f>B127+1</f>
        <v>47</v>
      </c>
      <c r="C129" s="242" t="s">
        <v>307</v>
      </c>
      <c r="D129" s="238" t="s">
        <v>157</v>
      </c>
      <c r="E129" s="238" t="s">
        <v>175</v>
      </c>
      <c r="F129" s="120">
        <v>2</v>
      </c>
      <c r="G129" s="123">
        <v>1200</v>
      </c>
      <c r="H129" s="240" t="str">
        <f>IF(AND(Q129&lt;3600,Q129&gt;0),"nhỏ",IF(AND(Q129&gt;=3600,Q129&lt;72000),"vừa",IF(Q129&lt;&gt;0,"lớn",0)))</f>
        <v>vừa</v>
      </c>
      <c r="I129" s="235">
        <v>290</v>
      </c>
      <c r="J129" s="235">
        <v>290</v>
      </c>
      <c r="K129" s="247"/>
      <c r="L129" s="55"/>
      <c r="M129" s="56"/>
      <c r="N129" s="56"/>
      <c r="O129" s="56"/>
      <c r="P129" s="56"/>
      <c r="Q129" s="55">
        <f>G129*F129+F130*G130</f>
        <v>11400</v>
      </c>
      <c r="R129" s="56"/>
      <c r="S129" s="56"/>
    </row>
    <row r="130" spans="1:21" s="57" customFormat="1" x14ac:dyDescent="0.25">
      <c r="A130" s="1">
        <f>IF(B130&gt;0,SUM(MAX($A$6:A129),1),0)</f>
        <v>0</v>
      </c>
      <c r="B130" s="238"/>
      <c r="C130" s="242"/>
      <c r="D130" s="238"/>
      <c r="E130" s="238"/>
      <c r="F130" s="120">
        <v>9</v>
      </c>
      <c r="G130" s="123">
        <v>1000</v>
      </c>
      <c r="H130" s="240"/>
      <c r="I130" s="235"/>
      <c r="J130" s="235"/>
      <c r="K130" s="247"/>
      <c r="L130" s="55"/>
      <c r="M130" s="56"/>
      <c r="N130" s="56"/>
      <c r="O130" s="56"/>
      <c r="P130" s="56"/>
      <c r="Q130" s="55"/>
      <c r="R130" s="56"/>
      <c r="S130" s="56"/>
    </row>
    <row r="131" spans="1:21" s="57" customFormat="1" x14ac:dyDescent="0.25">
      <c r="A131" s="1" t="e">
        <f ca="1">IF(B131&gt;0,SUM(MAX($A$6:A168),1),0)</f>
        <v>#REF!</v>
      </c>
      <c r="B131" s="120">
        <f>B129+1</f>
        <v>48</v>
      </c>
      <c r="C131" s="121" t="s">
        <v>324</v>
      </c>
      <c r="D131" s="120" t="s">
        <v>157</v>
      </c>
      <c r="E131" s="120" t="s">
        <v>175</v>
      </c>
      <c r="F131" s="120">
        <v>2</v>
      </c>
      <c r="G131" s="123">
        <v>980</v>
      </c>
      <c r="H131" s="124" t="str">
        <f>IF(AND(Q131&lt;3600,Q131&gt;0),"nhỏ",IF(AND(Q131&gt;=3600,Q131&lt;72000),"vừa",IF(Q131&lt;&gt;0,"lớn",0)))</f>
        <v>nhỏ</v>
      </c>
      <c r="I131" s="123">
        <v>140</v>
      </c>
      <c r="J131" s="123">
        <v>140</v>
      </c>
      <c r="K131" s="139"/>
      <c r="L131" s="55"/>
      <c r="M131" s="56"/>
      <c r="N131" s="56"/>
      <c r="O131" s="56"/>
      <c r="P131" s="56"/>
      <c r="Q131" s="55">
        <f>F131*G131</f>
        <v>1960</v>
      </c>
      <c r="R131" s="56"/>
      <c r="S131" s="56"/>
    </row>
    <row r="132" spans="1:21" s="57" customFormat="1" x14ac:dyDescent="0.25">
      <c r="A132" s="1" t="e">
        <f ca="1">IF(B132&gt;0,SUM(MAX($A$6:A180),1),0)</f>
        <v>#REF!</v>
      </c>
      <c r="B132" s="120">
        <f>B131+1</f>
        <v>49</v>
      </c>
      <c r="C132" s="121" t="s">
        <v>337</v>
      </c>
      <c r="D132" s="120" t="s">
        <v>157</v>
      </c>
      <c r="E132" s="120" t="s">
        <v>175</v>
      </c>
      <c r="F132" s="120">
        <v>3</v>
      </c>
      <c r="G132" s="123">
        <v>1400</v>
      </c>
      <c r="H132" s="124" t="str">
        <f>IF(AND(Q132&lt;3600,Q132&gt;0),"nhỏ",IF(AND(Q132&gt;=3600,Q132&lt;72000),"vừa",IF(Q132&lt;&gt;0,"lớn",0)))</f>
        <v>vừa</v>
      </c>
      <c r="I132" s="123">
        <v>70</v>
      </c>
      <c r="J132" s="123">
        <v>70</v>
      </c>
      <c r="K132" s="139"/>
      <c r="L132" s="55"/>
      <c r="M132" s="56"/>
      <c r="N132" s="56"/>
      <c r="O132" s="56"/>
      <c r="P132" s="56"/>
      <c r="Q132" s="55">
        <f>F132*G132</f>
        <v>4200</v>
      </c>
      <c r="R132" s="56"/>
      <c r="S132" s="56"/>
    </row>
    <row r="133" spans="1:21" s="53" customFormat="1" x14ac:dyDescent="0.25">
      <c r="A133" s="1" t="e">
        <f ca="1">IF(B133&gt;0,SUM(MAX($A$6:A132),1),0)</f>
        <v>#REF!</v>
      </c>
      <c r="B133" s="238">
        <f>B132+1</f>
        <v>50</v>
      </c>
      <c r="C133" s="242" t="s">
        <v>338</v>
      </c>
      <c r="D133" s="238" t="s">
        <v>157</v>
      </c>
      <c r="E133" s="238" t="s">
        <v>175</v>
      </c>
      <c r="F133" s="120">
        <v>1</v>
      </c>
      <c r="G133" s="123">
        <v>1200</v>
      </c>
      <c r="H133" s="240" t="str">
        <f>IF(AND(Q133&lt;3600,Q133&gt;0),"nhỏ",IF(AND(Q133&gt;=3600,Q133&lt;72000),"vừa",IF(Q133&lt;&gt;0,"lớn",0)))</f>
        <v>nhỏ</v>
      </c>
      <c r="I133" s="246">
        <v>65</v>
      </c>
      <c r="J133" s="246">
        <v>65</v>
      </c>
      <c r="K133" s="138"/>
      <c r="L133" s="51"/>
      <c r="M133" s="52"/>
      <c r="N133" s="52"/>
      <c r="O133" s="52"/>
      <c r="P133" s="52"/>
      <c r="Q133" s="55">
        <f>F133*G133+F134*G134</f>
        <v>2180</v>
      </c>
      <c r="R133" s="52"/>
      <c r="S133" s="52"/>
    </row>
    <row r="134" spans="1:21" s="57" customFormat="1" x14ac:dyDescent="0.25">
      <c r="A134" s="1">
        <f>IF(B134&gt;0,SUM(MAX($A$6:A133),1),0)</f>
        <v>0</v>
      </c>
      <c r="B134" s="238"/>
      <c r="C134" s="242"/>
      <c r="D134" s="238"/>
      <c r="E134" s="238"/>
      <c r="F134" s="120">
        <v>1</v>
      </c>
      <c r="G134" s="123">
        <v>980</v>
      </c>
      <c r="H134" s="240"/>
      <c r="I134" s="246"/>
      <c r="J134" s="246"/>
      <c r="K134" s="139"/>
      <c r="L134" s="55"/>
      <c r="M134" s="56"/>
      <c r="N134" s="56"/>
      <c r="O134" s="56"/>
      <c r="P134" s="56"/>
      <c r="Q134" s="55"/>
      <c r="R134" s="56"/>
      <c r="S134" s="56"/>
    </row>
    <row r="135" spans="1:21" s="57" customFormat="1" x14ac:dyDescent="0.25">
      <c r="A135" s="1" t="e">
        <f ca="1">IF(B135&gt;0,SUM(MAX($A$6:A134),1),0)</f>
        <v>#REF!</v>
      </c>
      <c r="B135" s="120">
        <f>B133+1</f>
        <v>51</v>
      </c>
      <c r="C135" s="121" t="s">
        <v>339</v>
      </c>
      <c r="D135" s="120" t="s">
        <v>157</v>
      </c>
      <c r="E135" s="120" t="s">
        <v>175</v>
      </c>
      <c r="F135" s="120">
        <v>4</v>
      </c>
      <c r="G135" s="123">
        <v>2100</v>
      </c>
      <c r="H135" s="124" t="str">
        <f>IF(AND(Q135&lt;3600,Q135&gt;0),"nhỏ",IF(AND(Q135&gt;=3600,Q135&lt;72000),"vừa",IF(Q135&lt;&gt;0,"lớn",0)))</f>
        <v>vừa</v>
      </c>
      <c r="I135" s="123">
        <v>831</v>
      </c>
      <c r="J135" s="123">
        <v>831</v>
      </c>
      <c r="K135" s="139"/>
      <c r="L135" s="55"/>
      <c r="M135" s="56"/>
      <c r="N135" s="56"/>
      <c r="O135" s="56"/>
      <c r="P135" s="56"/>
      <c r="Q135" s="55">
        <f>F135*G135</f>
        <v>8400</v>
      </c>
      <c r="R135" s="56"/>
      <c r="S135" s="56"/>
    </row>
    <row r="136" spans="1:21" s="57" customFormat="1" x14ac:dyDescent="0.25">
      <c r="A136" s="1" t="e">
        <f ca="1">IF(B136&gt;0,SUM(MAX($A$6:A174),1),0)</f>
        <v>#REF!</v>
      </c>
      <c r="B136" s="120">
        <f>B135+1</f>
        <v>52</v>
      </c>
      <c r="C136" s="121" t="s">
        <v>329</v>
      </c>
      <c r="D136" s="120" t="s">
        <v>157</v>
      </c>
      <c r="E136" s="120" t="s">
        <v>175</v>
      </c>
      <c r="F136" s="120">
        <v>4</v>
      </c>
      <c r="G136" s="123">
        <v>980</v>
      </c>
      <c r="H136" s="124" t="str">
        <f>IF(AND(Q136&lt;3600,Q136&gt;0),"nhỏ",IF(AND(Q136&gt;=3600,Q136&lt;72000),"vừa",IF(Q136&lt;&gt;0,"lớn",0)))</f>
        <v>vừa</v>
      </c>
      <c r="I136" s="123">
        <v>135</v>
      </c>
      <c r="J136" s="123">
        <v>135</v>
      </c>
      <c r="K136" s="139"/>
      <c r="L136" s="55"/>
      <c r="M136" s="56"/>
      <c r="N136" s="56"/>
      <c r="O136" s="56"/>
      <c r="P136" s="56"/>
      <c r="Q136" s="55">
        <f>F136*G136</f>
        <v>3920</v>
      </c>
      <c r="R136" s="56"/>
      <c r="S136" s="56"/>
    </row>
    <row r="137" spans="1:21" s="57" customFormat="1" x14ac:dyDescent="0.25">
      <c r="A137" s="1" t="e">
        <f ca="1">IF(B137&gt;0,SUM(MAX($A$6:A136),1),0)</f>
        <v>#REF!</v>
      </c>
      <c r="B137" s="120">
        <f>B136+1</f>
        <v>53</v>
      </c>
      <c r="C137" s="121" t="s">
        <v>330</v>
      </c>
      <c r="D137" s="120" t="s">
        <v>157</v>
      </c>
      <c r="E137" s="120" t="s">
        <v>175</v>
      </c>
      <c r="F137" s="120">
        <v>4</v>
      </c>
      <c r="G137" s="123">
        <v>980</v>
      </c>
      <c r="H137" s="124" t="str">
        <f>IF(AND(Q137&lt;3600,Q137&gt;0),"nhỏ",IF(AND(Q137&gt;=3600,Q137&lt;72000),"vừa",IF(Q137&lt;&gt;0,"lớn",0)))</f>
        <v>vừa</v>
      </c>
      <c r="I137" s="123">
        <v>195</v>
      </c>
      <c r="J137" s="123">
        <v>195</v>
      </c>
      <c r="K137" s="139"/>
      <c r="L137" s="55"/>
      <c r="M137" s="56"/>
      <c r="N137" s="56"/>
      <c r="O137" s="56"/>
      <c r="P137" s="56"/>
      <c r="Q137" s="55">
        <f>F137*G137</f>
        <v>3920</v>
      </c>
      <c r="R137" s="56"/>
      <c r="S137" s="56"/>
    </row>
    <row r="138" spans="1:21" s="57" customFormat="1" x14ac:dyDescent="0.25">
      <c r="A138" s="1" t="e">
        <f ca="1">IF(B138&gt;0,SUM(MAX($A$6:A118),1),0)</f>
        <v>#REF!</v>
      </c>
      <c r="B138" s="238">
        <f>B137+1</f>
        <v>54</v>
      </c>
      <c r="C138" s="121" t="s">
        <v>237</v>
      </c>
      <c r="D138" s="238" t="s">
        <v>237</v>
      </c>
      <c r="E138" s="238" t="s">
        <v>139</v>
      </c>
      <c r="F138" s="120">
        <v>3</v>
      </c>
      <c r="G138" s="123">
        <v>2500</v>
      </c>
      <c r="H138" s="240" t="str">
        <f t="shared" si="5"/>
        <v>vừa</v>
      </c>
      <c r="I138" s="123">
        <v>220</v>
      </c>
      <c r="J138" s="123">
        <v>220</v>
      </c>
      <c r="K138" s="139"/>
      <c r="L138" s="55"/>
      <c r="M138" s="56"/>
      <c r="N138" s="56"/>
      <c r="O138" s="56"/>
      <c r="P138" s="56"/>
      <c r="Q138" s="55">
        <f>F138*G138+F139*G139</f>
        <v>8700</v>
      </c>
      <c r="R138" s="56"/>
      <c r="S138" s="56"/>
    </row>
    <row r="139" spans="1:21" s="57" customFormat="1" x14ac:dyDescent="0.25">
      <c r="A139" s="1">
        <f>IF(B139&gt;0,SUM(MAX($A$6:A138),1),0)</f>
        <v>0</v>
      </c>
      <c r="B139" s="238"/>
      <c r="C139" s="121" t="s">
        <v>238</v>
      </c>
      <c r="D139" s="238"/>
      <c r="E139" s="238"/>
      <c r="F139" s="120">
        <v>1</v>
      </c>
      <c r="G139" s="123">
        <v>1200</v>
      </c>
      <c r="H139" s="240"/>
      <c r="I139" s="124"/>
      <c r="J139" s="124"/>
      <c r="K139" s="139"/>
      <c r="L139" s="55"/>
      <c r="M139" s="56"/>
      <c r="N139" s="56"/>
      <c r="O139" s="56"/>
      <c r="P139" s="56"/>
      <c r="Q139" s="55"/>
      <c r="R139" s="56"/>
      <c r="S139" s="56"/>
    </row>
    <row r="140" spans="1:21" s="57" customFormat="1" x14ac:dyDescent="0.25">
      <c r="A140" s="1" t="e">
        <f ca="1">IF(B140&gt;0,SUM(MAX($A$6:A148),1),0)</f>
        <v>#REF!</v>
      </c>
      <c r="B140" s="120">
        <f>B138+1</f>
        <v>55</v>
      </c>
      <c r="C140" s="121" t="s">
        <v>275</v>
      </c>
      <c r="D140" s="120" t="s">
        <v>265</v>
      </c>
      <c r="E140" s="120" t="s">
        <v>202</v>
      </c>
      <c r="F140" s="120">
        <v>3</v>
      </c>
      <c r="G140" s="123">
        <v>1120</v>
      </c>
      <c r="H140" s="124" t="str">
        <f>IF(AND(Q140&lt;3600,Q140&gt;0),"nhỏ",IF(AND(Q140&gt;=3600,Q140&lt;72000),"vừa",IF(Q140&lt;&gt;0,"lớn",0)))</f>
        <v>nhỏ</v>
      </c>
      <c r="I140" s="124"/>
      <c r="J140" s="124"/>
      <c r="K140" s="139"/>
      <c r="L140" s="55"/>
      <c r="M140" s="56"/>
      <c r="N140" s="56"/>
      <c r="O140" s="56"/>
      <c r="P140" s="56"/>
      <c r="Q140" s="55">
        <f>G140*F140</f>
        <v>3360</v>
      </c>
      <c r="R140" s="56"/>
      <c r="S140" s="56"/>
    </row>
    <row r="141" spans="1:21" x14ac:dyDescent="0.25">
      <c r="A141" s="1" t="e">
        <f ca="1">IF(B141&gt;0,SUM(MAX($A$6:A52),1),0)</f>
        <v>#REF!</v>
      </c>
      <c r="B141" s="238">
        <f>B140+1</f>
        <v>56</v>
      </c>
      <c r="C141" s="242" t="s">
        <v>137</v>
      </c>
      <c r="D141" s="238" t="s">
        <v>524</v>
      </c>
      <c r="E141" s="239" t="s">
        <v>83</v>
      </c>
      <c r="F141" s="120">
        <v>4</v>
      </c>
      <c r="G141" s="123">
        <v>900</v>
      </c>
      <c r="H141" s="240" t="str">
        <f>IF(AND(Q141&lt;3600,Q141&gt;0),"nhỏ",IF(AND(Q141&gt;=3600,Q141&lt;72000),"vừa",IF(Q141&lt;&gt;0,"lớn",0)))</f>
        <v>vừa</v>
      </c>
      <c r="I141" s="235">
        <v>256</v>
      </c>
      <c r="J141" s="235">
        <v>256</v>
      </c>
      <c r="K141" s="239"/>
      <c r="L141" s="15"/>
      <c r="M141" s="16"/>
      <c r="N141" s="16"/>
      <c r="O141" s="16"/>
      <c r="P141" s="16"/>
      <c r="Q141" s="15">
        <f>F141*G141+F142*G142</f>
        <v>8100</v>
      </c>
      <c r="R141" s="16"/>
      <c r="S141" s="16"/>
      <c r="U141" s="3"/>
    </row>
    <row r="142" spans="1:21" x14ac:dyDescent="0.25">
      <c r="A142" s="1">
        <f>IF(B142&gt;0,SUM(MAX($A$6:A141),1),0)</f>
        <v>0</v>
      </c>
      <c r="B142" s="238"/>
      <c r="C142" s="242"/>
      <c r="D142" s="238"/>
      <c r="E142" s="239"/>
      <c r="F142" s="120">
        <v>3</v>
      </c>
      <c r="G142" s="123">
        <v>1500</v>
      </c>
      <c r="H142" s="240"/>
      <c r="I142" s="235"/>
      <c r="J142" s="235"/>
      <c r="K142" s="239"/>
      <c r="L142" s="15"/>
      <c r="M142" s="16"/>
      <c r="N142" s="16"/>
      <c r="O142" s="16"/>
      <c r="P142" s="16"/>
      <c r="Q142" s="15"/>
      <c r="R142" s="16"/>
      <c r="S142" s="16"/>
      <c r="U142" s="3"/>
    </row>
    <row r="143" spans="1:21" s="57" customFormat="1" x14ac:dyDescent="0.25">
      <c r="A143" s="1"/>
      <c r="B143" s="238">
        <f>B141+1</f>
        <v>57</v>
      </c>
      <c r="C143" s="242" t="s">
        <v>242</v>
      </c>
      <c r="D143" s="238" t="s">
        <v>524</v>
      </c>
      <c r="E143" s="238" t="s">
        <v>83</v>
      </c>
      <c r="F143" s="120">
        <v>5</v>
      </c>
      <c r="G143" s="123">
        <v>900</v>
      </c>
      <c r="H143" s="240" t="str">
        <f t="shared" si="5"/>
        <v>vừa</v>
      </c>
      <c r="I143" s="246">
        <v>130</v>
      </c>
      <c r="J143" s="246">
        <v>130</v>
      </c>
      <c r="K143" s="247"/>
      <c r="L143" s="55"/>
      <c r="M143" s="56"/>
      <c r="N143" s="56"/>
      <c r="O143" s="56"/>
      <c r="P143" s="56"/>
      <c r="Q143" s="55">
        <f>F143*G143+F144*G144</f>
        <v>7000</v>
      </c>
      <c r="R143" s="56"/>
      <c r="S143" s="56"/>
    </row>
    <row r="144" spans="1:21" s="57" customFormat="1" x14ac:dyDescent="0.25">
      <c r="A144" s="1"/>
      <c r="B144" s="238"/>
      <c r="C144" s="242"/>
      <c r="D144" s="238"/>
      <c r="E144" s="238"/>
      <c r="F144" s="120">
        <v>1</v>
      </c>
      <c r="G144" s="123">
        <v>2500</v>
      </c>
      <c r="H144" s="240"/>
      <c r="I144" s="246"/>
      <c r="J144" s="246"/>
      <c r="K144" s="247"/>
      <c r="L144" s="55"/>
      <c r="M144" s="56"/>
      <c r="N144" s="56"/>
      <c r="O144" s="56"/>
      <c r="P144" s="56"/>
      <c r="Q144" s="55"/>
      <c r="R144" s="56"/>
      <c r="S144" s="56"/>
    </row>
    <row r="145" spans="1:19" s="57" customFormat="1" x14ac:dyDescent="0.25">
      <c r="A145" s="1"/>
      <c r="B145" s="238">
        <f>B143+1</f>
        <v>58</v>
      </c>
      <c r="C145" s="242" t="s">
        <v>243</v>
      </c>
      <c r="D145" s="238" t="s">
        <v>237</v>
      </c>
      <c r="E145" s="238" t="s">
        <v>83</v>
      </c>
      <c r="F145" s="120">
        <v>1</v>
      </c>
      <c r="G145" s="123">
        <v>980</v>
      </c>
      <c r="H145" s="240" t="str">
        <f t="shared" si="5"/>
        <v>nhỏ</v>
      </c>
      <c r="I145" s="246">
        <v>150</v>
      </c>
      <c r="J145" s="246">
        <v>150</v>
      </c>
      <c r="K145" s="247"/>
      <c r="L145" s="55"/>
      <c r="M145" s="56"/>
      <c r="N145" s="56"/>
      <c r="O145" s="56"/>
      <c r="P145" s="56"/>
      <c r="Q145" s="55">
        <f>F145*G145+F146*G146</f>
        <v>3220</v>
      </c>
      <c r="R145" s="56"/>
      <c r="S145" s="56"/>
    </row>
    <row r="146" spans="1:19" s="57" customFormat="1" x14ac:dyDescent="0.25">
      <c r="A146" s="1"/>
      <c r="B146" s="238"/>
      <c r="C146" s="242"/>
      <c r="D146" s="238"/>
      <c r="E146" s="238"/>
      <c r="F146" s="120">
        <v>2</v>
      </c>
      <c r="G146" s="123">
        <v>1120</v>
      </c>
      <c r="H146" s="240"/>
      <c r="I146" s="246"/>
      <c r="J146" s="246"/>
      <c r="K146" s="247"/>
      <c r="L146" s="55"/>
      <c r="M146" s="56"/>
      <c r="N146" s="56"/>
      <c r="O146" s="56"/>
      <c r="P146" s="56"/>
      <c r="Q146" s="55"/>
      <c r="R146" s="56"/>
      <c r="S146" s="56"/>
    </row>
    <row r="147" spans="1:19" s="57" customFormat="1" x14ac:dyDescent="0.25">
      <c r="A147" s="1"/>
      <c r="B147" s="238">
        <f>B145+1</f>
        <v>59</v>
      </c>
      <c r="C147" s="242" t="s">
        <v>244</v>
      </c>
      <c r="D147" s="238" t="s">
        <v>237</v>
      </c>
      <c r="E147" s="238" t="s">
        <v>83</v>
      </c>
      <c r="F147" s="120">
        <v>4</v>
      </c>
      <c r="G147" s="123">
        <v>900</v>
      </c>
      <c r="H147" s="124" t="str">
        <f t="shared" si="5"/>
        <v>vừa</v>
      </c>
      <c r="I147" s="235">
        <v>210</v>
      </c>
      <c r="J147" s="235">
        <v>210</v>
      </c>
      <c r="K147" s="247"/>
      <c r="L147" s="55"/>
      <c r="M147" s="56"/>
      <c r="N147" s="56"/>
      <c r="O147" s="56"/>
      <c r="P147" s="56"/>
      <c r="Q147" s="55">
        <f>F147*G147+F148*G148</f>
        <v>6000</v>
      </c>
      <c r="R147" s="56"/>
      <c r="S147" s="56"/>
    </row>
    <row r="148" spans="1:19" s="57" customFormat="1" x14ac:dyDescent="0.25">
      <c r="A148" s="1"/>
      <c r="B148" s="238"/>
      <c r="C148" s="242"/>
      <c r="D148" s="238"/>
      <c r="E148" s="238"/>
      <c r="F148" s="120">
        <v>2</v>
      </c>
      <c r="G148" s="123">
        <v>1200</v>
      </c>
      <c r="H148" s="124"/>
      <c r="I148" s="235"/>
      <c r="J148" s="235"/>
      <c r="K148" s="247"/>
      <c r="L148" s="55"/>
      <c r="M148" s="56"/>
      <c r="N148" s="56"/>
      <c r="O148" s="56"/>
      <c r="P148" s="56"/>
      <c r="Q148" s="55"/>
      <c r="R148" s="56"/>
      <c r="S148" s="56"/>
    </row>
    <row r="149" spans="1:19" s="57" customFormat="1" x14ac:dyDescent="0.25">
      <c r="A149" s="1" t="e">
        <f ca="1">IF(B149&gt;0,SUM(MAX($A$6:A148),1),0)</f>
        <v>#REF!</v>
      </c>
      <c r="B149" s="120">
        <f>B147+1</f>
        <v>60</v>
      </c>
      <c r="C149" s="121" t="s">
        <v>285</v>
      </c>
      <c r="D149" s="120" t="s">
        <v>265</v>
      </c>
      <c r="E149" s="120" t="s">
        <v>83</v>
      </c>
      <c r="F149" s="120">
        <v>2</v>
      </c>
      <c r="G149" s="123">
        <v>980</v>
      </c>
      <c r="H149" s="124" t="str">
        <f t="shared" ref="H149:H174" si="9">IF(AND(Q149&lt;3600,Q149&gt;0),"nhỏ",IF(AND(Q149&gt;=3600,Q149&lt;72000),"vừa",IF(Q149&lt;&gt;0,"lớn",0)))</f>
        <v>nhỏ</v>
      </c>
      <c r="I149" s="123">
        <v>75</v>
      </c>
      <c r="J149" s="123">
        <v>75</v>
      </c>
      <c r="K149" s="139"/>
      <c r="L149" s="55"/>
      <c r="M149" s="56"/>
      <c r="N149" s="56"/>
      <c r="O149" s="56"/>
      <c r="P149" s="56"/>
      <c r="Q149" s="55">
        <f>G149*F149</f>
        <v>1960</v>
      </c>
      <c r="R149" s="56"/>
      <c r="S149" s="56"/>
    </row>
    <row r="150" spans="1:19" s="57" customFormat="1" x14ac:dyDescent="0.25">
      <c r="A150" s="1" t="e">
        <f ca="1">IF(B150&gt;0,SUM(MAX($A$6:A149),1),0)</f>
        <v>#REF!</v>
      </c>
      <c r="B150" s="120">
        <f>B149+1</f>
        <v>61</v>
      </c>
      <c r="C150" s="121" t="s">
        <v>308</v>
      </c>
      <c r="D150" s="120" t="s">
        <v>524</v>
      </c>
      <c r="E150" s="120" t="s">
        <v>83</v>
      </c>
      <c r="F150" s="120">
        <v>3</v>
      </c>
      <c r="G150" s="123">
        <v>1400</v>
      </c>
      <c r="H150" s="124" t="str">
        <f t="shared" si="9"/>
        <v>vừa</v>
      </c>
      <c r="I150" s="123">
        <v>150</v>
      </c>
      <c r="J150" s="123">
        <v>150</v>
      </c>
      <c r="K150" s="139"/>
      <c r="L150" s="55"/>
      <c r="M150" s="56"/>
      <c r="N150" s="56"/>
      <c r="O150" s="56"/>
      <c r="P150" s="56"/>
      <c r="Q150" s="55">
        <f>G150*F150</f>
        <v>4200</v>
      </c>
      <c r="R150" s="56"/>
      <c r="S150" s="56"/>
    </row>
    <row r="151" spans="1:19" s="57" customFormat="1" x14ac:dyDescent="0.25">
      <c r="A151" s="1" t="e">
        <f ca="1">IF(B151&gt;0,SUM(MAX($A$6:A150),1),0)</f>
        <v>#REF!</v>
      </c>
      <c r="B151" s="238">
        <f>B150+1</f>
        <v>62</v>
      </c>
      <c r="C151" s="242" t="s">
        <v>310</v>
      </c>
      <c r="D151" s="238" t="s">
        <v>524</v>
      </c>
      <c r="E151" s="238" t="s">
        <v>83</v>
      </c>
      <c r="F151" s="120">
        <v>1</v>
      </c>
      <c r="G151" s="123">
        <v>1200</v>
      </c>
      <c r="H151" s="240" t="str">
        <f t="shared" si="9"/>
        <v>vừa</v>
      </c>
      <c r="I151" s="235">
        <v>130</v>
      </c>
      <c r="J151" s="235">
        <v>130</v>
      </c>
      <c r="K151" s="139"/>
      <c r="L151" s="55"/>
      <c r="M151" s="56"/>
      <c r="N151" s="56"/>
      <c r="O151" s="56"/>
      <c r="P151" s="56"/>
      <c r="Q151" s="55">
        <f>G151*F151+F152*G152</f>
        <v>4140</v>
      </c>
      <c r="R151" s="56"/>
      <c r="S151" s="56"/>
    </row>
    <row r="152" spans="1:19" s="57" customFormat="1" x14ac:dyDescent="0.25">
      <c r="A152" s="1">
        <f>IF(B152&gt;0,SUM(MAX($A$6:A151),1),0)</f>
        <v>0</v>
      </c>
      <c r="B152" s="238"/>
      <c r="C152" s="242"/>
      <c r="D152" s="238"/>
      <c r="E152" s="238"/>
      <c r="F152" s="120">
        <v>3</v>
      </c>
      <c r="G152" s="123">
        <v>980</v>
      </c>
      <c r="H152" s="240"/>
      <c r="I152" s="235"/>
      <c r="J152" s="235"/>
      <c r="K152" s="139"/>
      <c r="L152" s="55"/>
      <c r="M152" s="56"/>
      <c r="N152" s="56"/>
      <c r="O152" s="56"/>
      <c r="P152" s="56"/>
      <c r="Q152" s="55"/>
      <c r="R152" s="56"/>
      <c r="S152" s="56"/>
    </row>
    <row r="153" spans="1:19" s="57" customFormat="1" x14ac:dyDescent="0.25">
      <c r="A153" s="1" t="e">
        <f ca="1">IF(B153&gt;0,SUM(MAX($A$6:A152),1),0)</f>
        <v>#REF!</v>
      </c>
      <c r="B153" s="238">
        <v>82</v>
      </c>
      <c r="C153" s="242" t="s">
        <v>311</v>
      </c>
      <c r="D153" s="238" t="s">
        <v>524</v>
      </c>
      <c r="E153" s="238" t="s">
        <v>83</v>
      </c>
      <c r="F153" s="120">
        <v>4</v>
      </c>
      <c r="G153" s="123">
        <v>1400</v>
      </c>
      <c r="H153" s="240" t="str">
        <f t="shared" si="9"/>
        <v>vừa</v>
      </c>
      <c r="I153" s="235">
        <v>115</v>
      </c>
      <c r="J153" s="235">
        <v>115</v>
      </c>
      <c r="K153" s="247"/>
      <c r="L153" s="55"/>
      <c r="M153" s="56"/>
      <c r="N153" s="56"/>
      <c r="O153" s="56"/>
      <c r="P153" s="56"/>
      <c r="Q153" s="55">
        <f>G153*F153+F154*G154</f>
        <v>8540</v>
      </c>
      <c r="R153" s="56"/>
      <c r="S153" s="56"/>
    </row>
    <row r="154" spans="1:19" s="57" customFormat="1" x14ac:dyDescent="0.25">
      <c r="A154" s="1">
        <f>IF(B154&gt;0,SUM(MAX($A$6:A153),1),0)</f>
        <v>0</v>
      </c>
      <c r="B154" s="238"/>
      <c r="C154" s="242"/>
      <c r="D154" s="238"/>
      <c r="E154" s="238"/>
      <c r="F154" s="120">
        <v>3</v>
      </c>
      <c r="G154" s="123">
        <v>980</v>
      </c>
      <c r="H154" s="240"/>
      <c r="I154" s="235"/>
      <c r="J154" s="235"/>
      <c r="K154" s="247"/>
      <c r="L154" s="55"/>
      <c r="M154" s="56"/>
      <c r="N154" s="56"/>
      <c r="O154" s="56"/>
      <c r="P154" s="56"/>
      <c r="Q154" s="55"/>
      <c r="R154" s="56"/>
      <c r="S154" s="56"/>
    </row>
    <row r="155" spans="1:19" s="57" customFormat="1" x14ac:dyDescent="0.25">
      <c r="A155" s="1" t="e">
        <f ca="1">IF(B155&gt;0,SUM(MAX($A$6:A154),1),0)</f>
        <v>#REF!</v>
      </c>
      <c r="B155" s="238">
        <v>83</v>
      </c>
      <c r="C155" s="242" t="s">
        <v>312</v>
      </c>
      <c r="D155" s="238" t="s">
        <v>309</v>
      </c>
      <c r="E155" s="238" t="s">
        <v>83</v>
      </c>
      <c r="F155" s="120">
        <v>2</v>
      </c>
      <c r="G155" s="123">
        <v>2000</v>
      </c>
      <c r="H155" s="240" t="str">
        <f t="shared" si="9"/>
        <v>vừa</v>
      </c>
      <c r="I155" s="235">
        <v>80</v>
      </c>
      <c r="J155" s="235">
        <v>80</v>
      </c>
      <c r="K155" s="247"/>
      <c r="L155" s="55"/>
      <c r="M155" s="56"/>
      <c r="N155" s="56"/>
      <c r="O155" s="56"/>
      <c r="P155" s="56"/>
      <c r="Q155" s="55">
        <f>G155*F155+F156*G156</f>
        <v>5400</v>
      </c>
      <c r="R155" s="56"/>
      <c r="S155" s="56"/>
    </row>
    <row r="156" spans="1:19" s="57" customFormat="1" x14ac:dyDescent="0.25">
      <c r="A156" s="1">
        <f>IF(B156&gt;0,SUM(MAX($A$6:A155),1),0)</f>
        <v>0</v>
      </c>
      <c r="B156" s="238"/>
      <c r="C156" s="242"/>
      <c r="D156" s="238"/>
      <c r="E156" s="238"/>
      <c r="F156" s="120">
        <v>1</v>
      </c>
      <c r="G156" s="123">
        <v>1400</v>
      </c>
      <c r="H156" s="240"/>
      <c r="I156" s="235"/>
      <c r="J156" s="235"/>
      <c r="K156" s="247"/>
      <c r="L156" s="55"/>
      <c r="M156" s="56"/>
      <c r="N156" s="56"/>
      <c r="O156" s="56"/>
      <c r="P156" s="56"/>
      <c r="Q156" s="55"/>
      <c r="R156" s="56"/>
      <c r="S156" s="56"/>
    </row>
    <row r="157" spans="1:19" s="57" customFormat="1" ht="21.75" customHeight="1" x14ac:dyDescent="0.25">
      <c r="A157" s="1" t="e">
        <f ca="1">IF(B157&gt;0,SUM(MAX($A$6:A156),1),0)</f>
        <v>#REF!</v>
      </c>
      <c r="B157" s="120">
        <v>84</v>
      </c>
      <c r="C157" s="121" t="s">
        <v>313</v>
      </c>
      <c r="D157" s="120" t="s">
        <v>309</v>
      </c>
      <c r="E157" s="120" t="s">
        <v>83</v>
      </c>
      <c r="F157" s="120">
        <v>3</v>
      </c>
      <c r="G157" s="123">
        <v>980</v>
      </c>
      <c r="H157" s="124" t="str">
        <f t="shared" si="9"/>
        <v>nhỏ</v>
      </c>
      <c r="I157" s="123">
        <v>120</v>
      </c>
      <c r="J157" s="123">
        <v>120</v>
      </c>
      <c r="K157" s="139"/>
      <c r="L157" s="55"/>
      <c r="M157" s="56"/>
      <c r="N157" s="56"/>
      <c r="O157" s="56"/>
      <c r="P157" s="56"/>
      <c r="Q157" s="55">
        <f>F157*G157</f>
        <v>2940</v>
      </c>
      <c r="R157" s="56"/>
      <c r="S157" s="56"/>
    </row>
    <row r="158" spans="1:19" s="57" customFormat="1" ht="21.75" customHeight="1" x14ac:dyDescent="0.25">
      <c r="A158" s="1" t="e">
        <f ca="1">IF(B158&gt;0,SUM(MAX($A$6:A157),1),0)</f>
        <v>#REF!</v>
      </c>
      <c r="B158" s="120">
        <v>85</v>
      </c>
      <c r="C158" s="121" t="s">
        <v>314</v>
      </c>
      <c r="D158" s="120" t="s">
        <v>315</v>
      </c>
      <c r="E158" s="120" t="s">
        <v>83</v>
      </c>
      <c r="F158" s="120">
        <v>4</v>
      </c>
      <c r="G158" s="123">
        <v>980</v>
      </c>
      <c r="H158" s="124" t="str">
        <f t="shared" si="9"/>
        <v>vừa</v>
      </c>
      <c r="I158" s="123">
        <v>90</v>
      </c>
      <c r="J158" s="123">
        <v>90</v>
      </c>
      <c r="K158" s="139"/>
      <c r="L158" s="55"/>
      <c r="M158" s="56"/>
      <c r="N158" s="56"/>
      <c r="O158" s="56"/>
      <c r="P158" s="56"/>
      <c r="Q158" s="55">
        <f t="shared" ref="Q158:Q166" si="10">F158*G158</f>
        <v>3920</v>
      </c>
      <c r="R158" s="56"/>
      <c r="S158" s="56"/>
    </row>
    <row r="159" spans="1:19" s="57" customFormat="1" ht="21.75" customHeight="1" x14ac:dyDescent="0.25">
      <c r="A159" s="1" t="e">
        <f ca="1">IF(B159&gt;0,SUM(MAX($A$6:A158),1),0)</f>
        <v>#REF!</v>
      </c>
      <c r="B159" s="120">
        <v>86</v>
      </c>
      <c r="C159" s="121" t="s">
        <v>316</v>
      </c>
      <c r="D159" s="120" t="s">
        <v>315</v>
      </c>
      <c r="E159" s="120" t="s">
        <v>83</v>
      </c>
      <c r="F159" s="120">
        <v>4</v>
      </c>
      <c r="G159" s="123">
        <v>1400</v>
      </c>
      <c r="H159" s="124" t="str">
        <f t="shared" si="9"/>
        <v>vừa</v>
      </c>
      <c r="I159" s="123">
        <v>100</v>
      </c>
      <c r="J159" s="123">
        <v>100</v>
      </c>
      <c r="K159" s="139"/>
      <c r="L159" s="55"/>
      <c r="M159" s="56"/>
      <c r="N159" s="56"/>
      <c r="O159" s="56"/>
      <c r="P159" s="56"/>
      <c r="Q159" s="55">
        <f t="shared" si="10"/>
        <v>5600</v>
      </c>
      <c r="R159" s="56"/>
      <c r="S159" s="56"/>
    </row>
    <row r="160" spans="1:19" s="57" customFormat="1" ht="21.75" customHeight="1" x14ac:dyDescent="0.25">
      <c r="A160" s="1" t="e">
        <f ca="1">IF(B160&gt;0,SUM(MAX($A$6:A159),1),0)</f>
        <v>#REF!</v>
      </c>
      <c r="B160" s="120">
        <v>87</v>
      </c>
      <c r="C160" s="121" t="s">
        <v>317</v>
      </c>
      <c r="D160" s="120" t="s">
        <v>315</v>
      </c>
      <c r="E160" s="120" t="s">
        <v>83</v>
      </c>
      <c r="F160" s="120">
        <v>2</v>
      </c>
      <c r="G160" s="123">
        <v>1200</v>
      </c>
      <c r="H160" s="124" t="str">
        <f t="shared" si="9"/>
        <v>nhỏ</v>
      </c>
      <c r="I160" s="123">
        <v>70</v>
      </c>
      <c r="J160" s="123">
        <v>70</v>
      </c>
      <c r="K160" s="139"/>
      <c r="L160" s="55"/>
      <c r="M160" s="56"/>
      <c r="N160" s="56"/>
      <c r="O160" s="56"/>
      <c r="P160" s="56"/>
      <c r="Q160" s="55">
        <f t="shared" si="10"/>
        <v>2400</v>
      </c>
      <c r="R160" s="56"/>
      <c r="S160" s="56"/>
    </row>
    <row r="161" spans="1:19" s="57" customFormat="1" ht="21.75" customHeight="1" x14ac:dyDescent="0.25">
      <c r="A161" s="1" t="e">
        <f ca="1">IF(B161&gt;0,SUM(MAX($A$6:A164),1),0)</f>
        <v>#REF!</v>
      </c>
      <c r="B161" s="120">
        <v>88</v>
      </c>
      <c r="C161" s="121" t="s">
        <v>320</v>
      </c>
      <c r="D161" s="120" t="s">
        <v>164</v>
      </c>
      <c r="E161" s="120" t="s">
        <v>83</v>
      </c>
      <c r="F161" s="120">
        <v>7</v>
      </c>
      <c r="G161" s="123">
        <v>1400</v>
      </c>
      <c r="H161" s="124" t="str">
        <f>IF(AND(Q161&lt;3600,Q161&gt;0),"nhỏ",IF(AND(Q161&gt;=3600,Q161&lt;72000),"vừa",IF(Q161&lt;&gt;0,"lớn",0)))</f>
        <v>vừa</v>
      </c>
      <c r="I161" s="123">
        <v>160</v>
      </c>
      <c r="J161" s="123">
        <v>160</v>
      </c>
      <c r="K161" s="139"/>
      <c r="L161" s="55"/>
      <c r="M161" s="56"/>
      <c r="N161" s="56"/>
      <c r="O161" s="56"/>
      <c r="P161" s="56"/>
      <c r="Q161" s="55">
        <f>F161*G161</f>
        <v>9800</v>
      </c>
      <c r="R161" s="56"/>
      <c r="S161" s="56"/>
    </row>
    <row r="162" spans="1:19" s="57" customFormat="1" ht="21.75" customHeight="1" x14ac:dyDescent="0.25">
      <c r="A162" s="1" t="e">
        <f ca="1">IF(B162&gt;0,SUM(MAX($A$6:A160),1),0)</f>
        <v>#REF!</v>
      </c>
      <c r="B162" s="120">
        <v>89</v>
      </c>
      <c r="C162" s="121" t="s">
        <v>318</v>
      </c>
      <c r="D162" s="120" t="s">
        <v>161</v>
      </c>
      <c r="E162" s="120" t="s">
        <v>162</v>
      </c>
      <c r="F162" s="120">
        <v>10</v>
      </c>
      <c r="G162" s="123">
        <v>2500</v>
      </c>
      <c r="H162" s="124" t="str">
        <f t="shared" si="9"/>
        <v>vừa</v>
      </c>
      <c r="I162" s="123">
        <v>340</v>
      </c>
      <c r="J162" s="123">
        <v>340</v>
      </c>
      <c r="K162" s="139"/>
      <c r="L162" s="55"/>
      <c r="M162" s="56"/>
      <c r="N162" s="56"/>
      <c r="O162" s="56"/>
      <c r="P162" s="56"/>
      <c r="Q162" s="55">
        <f t="shared" si="10"/>
        <v>25000</v>
      </c>
      <c r="R162" s="56"/>
      <c r="S162" s="56"/>
    </row>
    <row r="163" spans="1:19" s="57" customFormat="1" x14ac:dyDescent="0.25">
      <c r="A163" s="1" t="e">
        <f ca="1">IF(B163&gt;0,SUM(MAX($A$6:A162),1),0)</f>
        <v>#REF!</v>
      </c>
      <c r="B163" s="238">
        <v>90</v>
      </c>
      <c r="C163" s="242" t="s">
        <v>319</v>
      </c>
      <c r="D163" s="238" t="s">
        <v>164</v>
      </c>
      <c r="E163" s="238" t="s">
        <v>162</v>
      </c>
      <c r="F163" s="120">
        <v>3</v>
      </c>
      <c r="G163" s="123">
        <v>1000</v>
      </c>
      <c r="H163" s="240" t="str">
        <f t="shared" si="9"/>
        <v>vừa</v>
      </c>
      <c r="I163" s="235">
        <v>90</v>
      </c>
      <c r="J163" s="235">
        <v>90</v>
      </c>
      <c r="K163" s="139"/>
      <c r="L163" s="55"/>
      <c r="M163" s="56"/>
      <c r="N163" s="56"/>
      <c r="O163" s="56"/>
      <c r="P163" s="56"/>
      <c r="Q163" s="55">
        <f>F163*G163+F164*G164</f>
        <v>4200</v>
      </c>
      <c r="R163" s="56"/>
      <c r="S163" s="56"/>
    </row>
    <row r="164" spans="1:19" s="57" customFormat="1" x14ac:dyDescent="0.25">
      <c r="A164" s="1">
        <f>IF(B164&gt;0,SUM(MAX($A$6:A163),1),0)</f>
        <v>0</v>
      </c>
      <c r="B164" s="238"/>
      <c r="C164" s="242"/>
      <c r="D164" s="238"/>
      <c r="E164" s="238"/>
      <c r="F164" s="120">
        <v>1</v>
      </c>
      <c r="G164" s="123">
        <v>1200</v>
      </c>
      <c r="H164" s="240"/>
      <c r="I164" s="235"/>
      <c r="J164" s="235"/>
      <c r="K164" s="139"/>
      <c r="L164" s="55"/>
      <c r="M164" s="56"/>
      <c r="N164" s="56"/>
      <c r="O164" s="56"/>
      <c r="P164" s="56"/>
      <c r="Q164" s="55"/>
      <c r="R164" s="56"/>
      <c r="S164" s="56"/>
    </row>
    <row r="165" spans="1:19" s="57" customFormat="1" x14ac:dyDescent="0.25">
      <c r="A165" s="1" t="e">
        <f ca="1">IF(B165&gt;0,SUM(MAX($A$6:A164),1),0)</f>
        <v>#REF!</v>
      </c>
      <c r="B165" s="120">
        <v>91</v>
      </c>
      <c r="C165" s="121" t="s">
        <v>321</v>
      </c>
      <c r="D165" s="120" t="s">
        <v>321</v>
      </c>
      <c r="E165" s="120" t="s">
        <v>162</v>
      </c>
      <c r="F165" s="120">
        <v>9</v>
      </c>
      <c r="G165" s="123">
        <v>1000</v>
      </c>
      <c r="H165" s="124" t="str">
        <f t="shared" si="9"/>
        <v>vừa</v>
      </c>
      <c r="I165" s="123">
        <v>220</v>
      </c>
      <c r="J165" s="123">
        <v>220</v>
      </c>
      <c r="K165" s="139"/>
      <c r="L165" s="55"/>
      <c r="M165" s="56"/>
      <c r="N165" s="56"/>
      <c r="O165" s="56"/>
      <c r="P165" s="56"/>
      <c r="Q165" s="55">
        <f t="shared" si="10"/>
        <v>9000</v>
      </c>
      <c r="R165" s="56"/>
      <c r="S165" s="56"/>
    </row>
    <row r="166" spans="1:19" s="57" customFormat="1" x14ac:dyDescent="0.25">
      <c r="A166" s="1" t="e">
        <f ca="1">IF(B166&gt;0,SUM(MAX($A$6:A165),1),0)</f>
        <v>#REF!</v>
      </c>
      <c r="B166" s="120">
        <v>92</v>
      </c>
      <c r="C166" s="121" t="s">
        <v>322</v>
      </c>
      <c r="D166" s="120" t="s">
        <v>321</v>
      </c>
      <c r="E166" s="120" t="s">
        <v>162</v>
      </c>
      <c r="F166" s="120">
        <v>2</v>
      </c>
      <c r="G166" s="123">
        <v>1200</v>
      </c>
      <c r="H166" s="124" t="str">
        <f t="shared" si="9"/>
        <v>nhỏ</v>
      </c>
      <c r="I166" s="123">
        <v>80</v>
      </c>
      <c r="J166" s="123">
        <v>80</v>
      </c>
      <c r="K166" s="139"/>
      <c r="L166" s="55"/>
      <c r="M166" s="56"/>
      <c r="N166" s="56"/>
      <c r="O166" s="56"/>
      <c r="P166" s="56"/>
      <c r="Q166" s="55">
        <f t="shared" si="10"/>
        <v>2400</v>
      </c>
      <c r="R166" s="56"/>
      <c r="S166" s="56"/>
    </row>
    <row r="167" spans="1:19" s="57" customFormat="1" x14ac:dyDescent="0.25">
      <c r="A167" s="1" t="e">
        <f ca="1">IF(B167&gt;0,SUM(MAX($A$6:A166),1),0)</f>
        <v>#REF!</v>
      </c>
      <c r="B167" s="238">
        <v>93</v>
      </c>
      <c r="C167" s="242" t="s">
        <v>323</v>
      </c>
      <c r="D167" s="238" t="s">
        <v>321</v>
      </c>
      <c r="E167" s="238" t="s">
        <v>162</v>
      </c>
      <c r="F167" s="120">
        <v>1</v>
      </c>
      <c r="G167" s="123">
        <v>1400</v>
      </c>
      <c r="H167" s="240" t="str">
        <f t="shared" si="9"/>
        <v>vừa</v>
      </c>
      <c r="I167" s="235">
        <v>100</v>
      </c>
      <c r="J167" s="235">
        <v>100</v>
      </c>
      <c r="K167" s="139"/>
      <c r="L167" s="55"/>
      <c r="M167" s="56"/>
      <c r="N167" s="56"/>
      <c r="O167" s="56"/>
      <c r="P167" s="56"/>
      <c r="Q167" s="55">
        <f>F167*G167+F168*G168</f>
        <v>5400</v>
      </c>
      <c r="R167" s="56"/>
      <c r="S167" s="56"/>
    </row>
    <row r="168" spans="1:19" s="57" customFormat="1" x14ac:dyDescent="0.25">
      <c r="A168" s="1">
        <f>IF(B168&gt;0,SUM(MAX($A$6:A167),1),0)</f>
        <v>0</v>
      </c>
      <c r="B168" s="238"/>
      <c r="C168" s="242"/>
      <c r="D168" s="238"/>
      <c r="E168" s="238"/>
      <c r="F168" s="120">
        <v>2</v>
      </c>
      <c r="G168" s="123">
        <v>2000</v>
      </c>
      <c r="H168" s="240"/>
      <c r="I168" s="235"/>
      <c r="J168" s="235"/>
      <c r="K168" s="139"/>
      <c r="L168" s="55"/>
      <c r="M168" s="56"/>
      <c r="N168" s="56"/>
      <c r="O168" s="56"/>
      <c r="P168" s="56"/>
      <c r="Q168" s="55"/>
      <c r="R168" s="56"/>
      <c r="S168" s="56"/>
    </row>
    <row r="169" spans="1:19" s="57" customFormat="1" x14ac:dyDescent="0.25">
      <c r="A169" s="1" t="e">
        <f ca="1">IF(B169&gt;0,SUM(MAX($A$6:A168),1),0)</f>
        <v>#REF!</v>
      </c>
      <c r="B169" s="238">
        <v>94</v>
      </c>
      <c r="C169" s="242" t="s">
        <v>325</v>
      </c>
      <c r="D169" s="238" t="s">
        <v>213</v>
      </c>
      <c r="E169" s="238" t="s">
        <v>162</v>
      </c>
      <c r="F169" s="120">
        <v>2</v>
      </c>
      <c r="G169" s="123">
        <v>1200</v>
      </c>
      <c r="H169" s="240" t="str">
        <f t="shared" si="9"/>
        <v>vừa</v>
      </c>
      <c r="I169" s="235">
        <v>95</v>
      </c>
      <c r="J169" s="235">
        <v>95</v>
      </c>
      <c r="K169" s="139"/>
      <c r="L169" s="55"/>
      <c r="M169" s="56"/>
      <c r="N169" s="56"/>
      <c r="O169" s="56"/>
      <c r="P169" s="56"/>
      <c r="Q169" s="55">
        <f>F169*G169+F170*G170</f>
        <v>6320</v>
      </c>
      <c r="R169" s="56"/>
      <c r="S169" s="56"/>
    </row>
    <row r="170" spans="1:19" s="57" customFormat="1" x14ac:dyDescent="0.25">
      <c r="A170" s="1">
        <f>IF(B170&gt;0,SUM(MAX($A$6:A169),1),0)</f>
        <v>0</v>
      </c>
      <c r="B170" s="238"/>
      <c r="C170" s="242"/>
      <c r="D170" s="238"/>
      <c r="E170" s="238"/>
      <c r="F170" s="120">
        <v>4</v>
      </c>
      <c r="G170" s="123">
        <v>980</v>
      </c>
      <c r="H170" s="240"/>
      <c r="I170" s="235"/>
      <c r="J170" s="235"/>
      <c r="K170" s="139"/>
      <c r="L170" s="55"/>
      <c r="M170" s="56"/>
      <c r="N170" s="56"/>
      <c r="O170" s="56"/>
      <c r="P170" s="56"/>
      <c r="Q170" s="55"/>
      <c r="R170" s="56"/>
      <c r="S170" s="56"/>
    </row>
    <row r="171" spans="1:19" s="57" customFormat="1" x14ac:dyDescent="0.25">
      <c r="A171" s="1" t="e">
        <f ca="1">IF(B171&gt;0,SUM(MAX($A$6:A170),1),0)</f>
        <v>#REF!</v>
      </c>
      <c r="B171" s="238">
        <v>95</v>
      </c>
      <c r="C171" s="242" t="s">
        <v>326</v>
      </c>
      <c r="D171" s="238" t="s">
        <v>213</v>
      </c>
      <c r="E171" s="238" t="s">
        <v>162</v>
      </c>
      <c r="F171" s="120">
        <v>2</v>
      </c>
      <c r="G171" s="123">
        <v>1950</v>
      </c>
      <c r="H171" s="240" t="str">
        <f t="shared" si="9"/>
        <v>vừa</v>
      </c>
      <c r="I171" s="235">
        <v>135</v>
      </c>
      <c r="J171" s="235">
        <v>135</v>
      </c>
      <c r="K171" s="139"/>
      <c r="L171" s="55"/>
      <c r="M171" s="56"/>
      <c r="N171" s="56"/>
      <c r="O171" s="56"/>
      <c r="P171" s="56"/>
      <c r="Q171" s="55">
        <f>F171*G171+F172*G172</f>
        <v>4880</v>
      </c>
      <c r="R171" s="56"/>
      <c r="S171" s="56"/>
    </row>
    <row r="172" spans="1:19" s="57" customFormat="1" x14ac:dyDescent="0.25">
      <c r="A172" s="1">
        <f>IF(B172&gt;0,SUM(MAX($A$6:A171),1),0)</f>
        <v>0</v>
      </c>
      <c r="B172" s="238"/>
      <c r="C172" s="242"/>
      <c r="D172" s="238"/>
      <c r="E172" s="238"/>
      <c r="F172" s="120">
        <v>1</v>
      </c>
      <c r="G172" s="123">
        <v>980</v>
      </c>
      <c r="H172" s="240"/>
      <c r="I172" s="235"/>
      <c r="J172" s="235"/>
      <c r="K172" s="139"/>
      <c r="L172" s="55"/>
      <c r="M172" s="56"/>
      <c r="N172" s="56"/>
      <c r="O172" s="56"/>
      <c r="P172" s="56"/>
      <c r="Q172" s="55"/>
      <c r="R172" s="56"/>
      <c r="S172" s="56"/>
    </row>
    <row r="173" spans="1:19" s="57" customFormat="1" ht="25.5" customHeight="1" x14ac:dyDescent="0.25">
      <c r="A173" s="1" t="e">
        <f ca="1">IF(B173&gt;0,SUM(MAX($A$6:A172),1),0)</f>
        <v>#REF!</v>
      </c>
      <c r="B173" s="120">
        <v>96</v>
      </c>
      <c r="C173" s="121" t="s">
        <v>529</v>
      </c>
      <c r="D173" s="120" t="s">
        <v>213</v>
      </c>
      <c r="E173" s="120" t="s">
        <v>162</v>
      </c>
      <c r="F173" s="120">
        <v>2</v>
      </c>
      <c r="G173" s="123">
        <v>980</v>
      </c>
      <c r="H173" s="124" t="str">
        <f t="shared" si="9"/>
        <v>nhỏ</v>
      </c>
      <c r="I173" s="123">
        <v>80</v>
      </c>
      <c r="J173" s="123">
        <v>80</v>
      </c>
      <c r="K173" s="139"/>
      <c r="L173" s="55"/>
      <c r="M173" s="56"/>
      <c r="N173" s="56"/>
      <c r="O173" s="56"/>
      <c r="P173" s="56"/>
      <c r="Q173" s="55">
        <f>F173*G173</f>
        <v>1960</v>
      </c>
      <c r="R173" s="56"/>
      <c r="S173" s="56"/>
    </row>
    <row r="174" spans="1:19" s="57" customFormat="1" ht="25.5" customHeight="1" x14ac:dyDescent="0.25">
      <c r="A174" s="1" t="e">
        <f ca="1">IF(B174&gt;0,SUM(MAX($A$6:A173),1),0)</f>
        <v>#REF!</v>
      </c>
      <c r="B174" s="120">
        <v>97</v>
      </c>
      <c r="C174" s="121" t="s">
        <v>328</v>
      </c>
      <c r="D174" s="120" t="s">
        <v>213</v>
      </c>
      <c r="E174" s="120" t="s">
        <v>162</v>
      </c>
      <c r="F174" s="120">
        <v>2</v>
      </c>
      <c r="G174" s="123">
        <v>1000</v>
      </c>
      <c r="H174" s="124" t="str">
        <f t="shared" si="9"/>
        <v>nhỏ</v>
      </c>
      <c r="I174" s="123">
        <v>50</v>
      </c>
      <c r="J174" s="123">
        <v>50</v>
      </c>
      <c r="K174" s="139"/>
      <c r="L174" s="55"/>
      <c r="M174" s="56"/>
      <c r="N174" s="56"/>
      <c r="O174" s="56"/>
      <c r="P174" s="56"/>
      <c r="Q174" s="55">
        <f t="shared" ref="Q174:Q180" si="11">F174*G174</f>
        <v>2000</v>
      </c>
      <c r="R174" s="56"/>
      <c r="S174" s="56"/>
    </row>
    <row r="175" spans="1:19" s="57" customFormat="1" x14ac:dyDescent="0.25">
      <c r="A175" s="1" t="e">
        <f ca="1">IF(B175&gt;0,SUM(MAX($A$6:A180),1),0)</f>
        <v>#REF!</v>
      </c>
      <c r="B175" s="238">
        <v>98</v>
      </c>
      <c r="C175" s="242" t="s">
        <v>334</v>
      </c>
      <c r="D175" s="238" t="s">
        <v>335</v>
      </c>
      <c r="E175" s="238" t="s">
        <v>162</v>
      </c>
      <c r="F175" s="120">
        <v>1</v>
      </c>
      <c r="G175" s="123">
        <v>980</v>
      </c>
      <c r="H175" s="240" t="str">
        <f>IF(AND(Q175&lt;3600,Q175&gt;0),"nhỏ",IF(AND(Q175&gt;=3600,Q175&lt;72000),"vừa",IF(Q175&lt;&gt;0,"lớn",0)))</f>
        <v>nhỏ</v>
      </c>
      <c r="I175" s="235">
        <v>75</v>
      </c>
      <c r="J175" s="235">
        <v>75</v>
      </c>
      <c r="K175" s="139"/>
      <c r="L175" s="55"/>
      <c r="M175" s="56"/>
      <c r="N175" s="56"/>
      <c r="O175" s="56"/>
      <c r="P175" s="56"/>
      <c r="Q175" s="55">
        <f>F175*G175+F176*G176</f>
        <v>1520</v>
      </c>
      <c r="R175" s="56"/>
      <c r="S175" s="56"/>
    </row>
    <row r="176" spans="1:19" s="57" customFormat="1" x14ac:dyDescent="0.25">
      <c r="A176" s="1">
        <f>IF(B176&gt;0,SUM(MAX($A$6:A175),1),0)</f>
        <v>0</v>
      </c>
      <c r="B176" s="238"/>
      <c r="C176" s="242"/>
      <c r="D176" s="238"/>
      <c r="E176" s="238"/>
      <c r="F176" s="120">
        <v>1</v>
      </c>
      <c r="G176" s="123">
        <v>540</v>
      </c>
      <c r="H176" s="240"/>
      <c r="I176" s="235"/>
      <c r="J176" s="235"/>
      <c r="K176" s="139"/>
      <c r="L176" s="55"/>
      <c r="M176" s="56"/>
      <c r="N176" s="56"/>
      <c r="O176" s="56"/>
      <c r="P176" s="56"/>
      <c r="Q176" s="55"/>
      <c r="R176" s="56"/>
      <c r="S176" s="56"/>
    </row>
    <row r="177" spans="1:19" s="57" customFormat="1" x14ac:dyDescent="0.25">
      <c r="A177" s="1" t="e">
        <f ca="1">IF(B177&gt;0,SUM(MAX($A$6:A176),1),0)</f>
        <v>#REF!</v>
      </c>
      <c r="B177" s="120">
        <v>99</v>
      </c>
      <c r="C177" s="121" t="s">
        <v>336</v>
      </c>
      <c r="D177" s="120" t="s">
        <v>335</v>
      </c>
      <c r="E177" s="120" t="s">
        <v>162</v>
      </c>
      <c r="F177" s="120">
        <v>3</v>
      </c>
      <c r="G177" s="123">
        <v>980</v>
      </c>
      <c r="H177" s="124" t="str">
        <f>IF(AND(Q177&lt;3600,Q177&gt;0),"nhỏ",IF(AND(Q177&gt;=3600,Q177&lt;72000),"vừa",IF(Q177&lt;&gt;0,"lớn",0)))</f>
        <v>nhỏ</v>
      </c>
      <c r="I177" s="123">
        <v>130</v>
      </c>
      <c r="J177" s="123">
        <v>130</v>
      </c>
      <c r="K177" s="139"/>
      <c r="L177" s="55"/>
      <c r="M177" s="56"/>
      <c r="N177" s="56"/>
      <c r="O177" s="56"/>
      <c r="P177" s="56"/>
      <c r="Q177" s="55">
        <f>F177*G177</f>
        <v>2940</v>
      </c>
      <c r="R177" s="56"/>
      <c r="S177" s="56"/>
    </row>
    <row r="178" spans="1:19" s="57" customFormat="1" x14ac:dyDescent="0.25">
      <c r="A178" s="1" t="e">
        <f ca="1">IF(B178&gt;0,SUM(MAX($A$6:A174),1),0)</f>
        <v>#REF!</v>
      </c>
      <c r="B178" s="238">
        <v>100</v>
      </c>
      <c r="C178" s="242" t="s">
        <v>332</v>
      </c>
      <c r="D178" s="238" t="s">
        <v>184</v>
      </c>
      <c r="E178" s="238" t="s">
        <v>217</v>
      </c>
      <c r="F178" s="120">
        <v>2</v>
      </c>
      <c r="G178" s="123">
        <v>2500</v>
      </c>
      <c r="H178" s="240" t="str">
        <f t="shared" ref="H178:H180" si="12">IF(AND(Q178&lt;3600,Q178&gt;0),"nhỏ",IF(AND(Q178&gt;=3600,Q178&lt;72000),"vừa",IF(Q178&lt;&gt;0,"lớn",0)))</f>
        <v>vừa</v>
      </c>
      <c r="I178" s="246">
        <v>150</v>
      </c>
      <c r="J178" s="246">
        <v>150</v>
      </c>
      <c r="K178" s="139"/>
      <c r="L178" s="55"/>
      <c r="M178" s="56"/>
      <c r="N178" s="56"/>
      <c r="O178" s="56"/>
      <c r="P178" s="56"/>
      <c r="Q178" s="55">
        <f>F178*G178+F179*G179</f>
        <v>6200</v>
      </c>
      <c r="R178" s="56"/>
      <c r="S178" s="56"/>
    </row>
    <row r="179" spans="1:19" s="57" customFormat="1" x14ac:dyDescent="0.25">
      <c r="A179" s="1">
        <f>IF(B179&gt;0,SUM(MAX($A$6:A178),1),0)</f>
        <v>0</v>
      </c>
      <c r="B179" s="238"/>
      <c r="C179" s="242"/>
      <c r="D179" s="238"/>
      <c r="E179" s="238"/>
      <c r="F179" s="120">
        <v>1</v>
      </c>
      <c r="G179" s="123">
        <v>1200</v>
      </c>
      <c r="H179" s="240"/>
      <c r="I179" s="246"/>
      <c r="J179" s="246"/>
      <c r="K179" s="139"/>
      <c r="L179" s="55"/>
      <c r="M179" s="56"/>
      <c r="N179" s="56"/>
      <c r="O179" s="56"/>
      <c r="P179" s="56"/>
      <c r="Q179" s="55"/>
      <c r="R179" s="56"/>
      <c r="S179" s="56"/>
    </row>
    <row r="180" spans="1:19" s="57" customFormat="1" x14ac:dyDescent="0.25">
      <c r="A180" s="1" t="e">
        <f ca="1">IF(B180&gt;0,SUM(MAX($A$6:A179),1),0)</f>
        <v>#REF!</v>
      </c>
      <c r="B180" s="120">
        <v>101</v>
      </c>
      <c r="C180" s="121" t="s">
        <v>333</v>
      </c>
      <c r="D180" s="120" t="s">
        <v>197</v>
      </c>
      <c r="E180" s="120" t="s">
        <v>217</v>
      </c>
      <c r="F180" s="120">
        <v>2</v>
      </c>
      <c r="G180" s="123">
        <v>980</v>
      </c>
      <c r="H180" s="124" t="str">
        <f t="shared" si="12"/>
        <v>nhỏ</v>
      </c>
      <c r="I180" s="123">
        <v>140</v>
      </c>
      <c r="J180" s="123">
        <v>140</v>
      </c>
      <c r="K180" s="139"/>
      <c r="L180" s="55"/>
      <c r="M180" s="56"/>
      <c r="N180" s="56"/>
      <c r="O180" s="56"/>
      <c r="P180" s="56"/>
      <c r="Q180" s="55">
        <f t="shared" si="11"/>
        <v>1960</v>
      </c>
      <c r="R180" s="56"/>
      <c r="S180" s="56"/>
    </row>
    <row r="181" spans="1:19" s="68" customFormat="1" x14ac:dyDescent="0.25">
      <c r="A181" s="1"/>
      <c r="B181" s="141" t="s">
        <v>340</v>
      </c>
      <c r="C181" s="130" t="s">
        <v>341</v>
      </c>
      <c r="D181" s="131" t="str">
        <f>CONCATENATE(COUNT(B181:B225)," trạm")</f>
        <v>33 trạm</v>
      </c>
      <c r="E181" s="131"/>
      <c r="F181" s="142">
        <f>SUM(F182:F225)</f>
        <v>197</v>
      </c>
      <c r="G181" s="125"/>
      <c r="H181" s="143"/>
      <c r="I181" s="143"/>
      <c r="J181" s="143"/>
      <c r="K181" s="143"/>
      <c r="L181" s="67" t="e">
        <f>+#REF!+#REF!+#REF!</f>
        <v>#REF!</v>
      </c>
      <c r="M181" s="67" t="e">
        <f>+#REF!+#REF!+#REF!</f>
        <v>#REF!</v>
      </c>
      <c r="N181" s="67" t="e">
        <f>+#REF!+#REF!+#REF!</f>
        <v>#REF!</v>
      </c>
      <c r="O181" s="67"/>
      <c r="P181" s="67"/>
      <c r="Q181" s="67" t="e">
        <f>+#REF!+#REF!+#REF!</f>
        <v>#REF!</v>
      </c>
      <c r="R181" s="67"/>
      <c r="S181" s="67"/>
    </row>
    <row r="182" spans="1:19" s="73" customFormat="1" ht="16.5" customHeight="1" x14ac:dyDescent="0.25">
      <c r="A182" s="1" t="e">
        <f ca="1">IF(B182&gt;0,SUM(MAX($A$6:A190),1),0)</f>
        <v>#REF!</v>
      </c>
      <c r="B182" s="238">
        <v>1</v>
      </c>
      <c r="C182" s="140" t="s">
        <v>506</v>
      </c>
      <c r="D182" s="238" t="s">
        <v>357</v>
      </c>
      <c r="E182" s="241" t="s">
        <v>344</v>
      </c>
      <c r="F182" s="120">
        <v>20</v>
      </c>
      <c r="G182" s="123">
        <v>980</v>
      </c>
      <c r="H182" s="240" t="str">
        <f>IF(AND(Q182&lt;3600,Q182&gt;0),"nhỏ",IF(AND(Q182&gt;=3600,Q182&lt;72000),"vừa",IF(Q182&lt;&gt;0,"lớn",0)))</f>
        <v>vừa</v>
      </c>
      <c r="I182" s="124"/>
      <c r="J182" s="245">
        <v>2800</v>
      </c>
      <c r="K182" s="125" t="s">
        <v>399</v>
      </c>
      <c r="L182" s="72"/>
      <c r="M182" s="72"/>
      <c r="N182" s="72"/>
      <c r="O182" s="72"/>
      <c r="P182" s="72"/>
      <c r="Q182" s="72">
        <f>F182*G182+F184*G184</f>
        <v>59600</v>
      </c>
      <c r="R182" s="72"/>
      <c r="S182" s="72"/>
    </row>
    <row r="183" spans="1:19" s="73" customFormat="1" x14ac:dyDescent="0.25">
      <c r="A183" s="1"/>
      <c r="B183" s="238"/>
      <c r="C183" s="140" t="s">
        <v>510</v>
      </c>
      <c r="D183" s="238"/>
      <c r="E183" s="241"/>
      <c r="F183" s="120">
        <v>4</v>
      </c>
      <c r="G183" s="123">
        <v>980</v>
      </c>
      <c r="H183" s="240"/>
      <c r="I183" s="124"/>
      <c r="J183" s="245"/>
      <c r="K183" s="125"/>
      <c r="L183" s="72"/>
      <c r="M183" s="72"/>
      <c r="N183" s="72"/>
      <c r="O183" s="72"/>
      <c r="P183" s="72"/>
      <c r="Q183" s="72"/>
      <c r="R183" s="72"/>
      <c r="S183" s="72"/>
    </row>
    <row r="184" spans="1:19" s="73" customFormat="1" x14ac:dyDescent="0.25">
      <c r="A184" s="1"/>
      <c r="B184" s="238"/>
      <c r="C184" s="140" t="s">
        <v>507</v>
      </c>
      <c r="D184" s="238"/>
      <c r="E184" s="241"/>
      <c r="F184" s="120">
        <v>10</v>
      </c>
      <c r="G184" s="123">
        <v>4000</v>
      </c>
      <c r="H184" s="240"/>
      <c r="I184" s="124"/>
      <c r="J184" s="245"/>
      <c r="K184" s="125" t="s">
        <v>400</v>
      </c>
      <c r="L184" s="72"/>
      <c r="M184" s="72"/>
      <c r="N184" s="72"/>
      <c r="O184" s="72"/>
      <c r="P184" s="72"/>
      <c r="Q184" s="72"/>
      <c r="R184" s="72"/>
      <c r="S184" s="72"/>
    </row>
    <row r="185" spans="1:19" s="73" customFormat="1" ht="33" x14ac:dyDescent="0.25">
      <c r="A185" s="1" t="e">
        <f ca="1">IF(B185&gt;0,SUM(MAX($A$6:A182),1),0)</f>
        <v>#REF!</v>
      </c>
      <c r="B185" s="120">
        <v>2</v>
      </c>
      <c r="C185" s="121" t="s">
        <v>404</v>
      </c>
      <c r="D185" s="120" t="s">
        <v>366</v>
      </c>
      <c r="E185" s="144" t="s">
        <v>344</v>
      </c>
      <c r="F185" s="120">
        <v>3</v>
      </c>
      <c r="G185" s="123">
        <v>2400</v>
      </c>
      <c r="H185" s="124" t="str">
        <f>IF(AND(Q185&lt;3600,Q185&gt;0),"nhỏ",IF(AND(Q185&gt;=3600,Q185&lt;72000),"vừa",IF(Q185&lt;&gt;0,"lớn",0)))</f>
        <v>vừa</v>
      </c>
      <c r="I185" s="124"/>
      <c r="J185" s="123">
        <v>145</v>
      </c>
      <c r="K185" s="125" t="s">
        <v>405</v>
      </c>
      <c r="L185" s="72"/>
      <c r="M185" s="72"/>
      <c r="N185" s="72"/>
      <c r="O185" s="72"/>
      <c r="P185" s="72"/>
      <c r="Q185" s="72">
        <f>F185*G185</f>
        <v>7200</v>
      </c>
      <c r="R185" s="72"/>
      <c r="S185" s="72"/>
    </row>
    <row r="186" spans="1:19" s="73" customFormat="1" x14ac:dyDescent="0.25">
      <c r="A186" s="1" t="e">
        <f ca="1">IF(B186&gt;0,SUM(MAX($A$6:A181),1),0)</f>
        <v>#REF!</v>
      </c>
      <c r="B186" s="238">
        <v>3</v>
      </c>
      <c r="C186" s="140" t="s">
        <v>511</v>
      </c>
      <c r="D186" s="238" t="s">
        <v>381</v>
      </c>
      <c r="E186" s="241" t="s">
        <v>344</v>
      </c>
      <c r="F186" s="120">
        <v>15</v>
      </c>
      <c r="G186" s="123">
        <v>8000</v>
      </c>
      <c r="H186" s="240" t="str">
        <f t="shared" ref="H186" si="13">IF(AND(Q186&lt;3600,Q186&gt;0),"nhỏ",IF(AND(Q186&gt;=3600,Q186&lt;72000),"vừa",IF(Q186&lt;&gt;0,"lớn",0)))</f>
        <v>lớn</v>
      </c>
      <c r="I186" s="245"/>
      <c r="J186" s="245">
        <v>9220</v>
      </c>
      <c r="K186" s="125" t="s">
        <v>394</v>
      </c>
      <c r="L186" s="72"/>
      <c r="M186" s="72"/>
      <c r="N186" s="72"/>
      <c r="O186" s="72"/>
      <c r="P186" s="72"/>
      <c r="Q186" s="72">
        <f>F186*G186+F187*G187</f>
        <v>230000</v>
      </c>
      <c r="R186" s="72"/>
      <c r="S186" s="72"/>
    </row>
    <row r="187" spans="1:19" s="73" customFormat="1" x14ac:dyDescent="0.25">
      <c r="A187" s="1">
        <f>IF(B187&gt;0,SUM(MAX($A$6:A186),1),0)</f>
        <v>0</v>
      </c>
      <c r="B187" s="238"/>
      <c r="C187" s="140" t="s">
        <v>512</v>
      </c>
      <c r="D187" s="238"/>
      <c r="E187" s="241"/>
      <c r="F187" s="120">
        <v>5</v>
      </c>
      <c r="G187" s="123">
        <v>22000</v>
      </c>
      <c r="H187" s="240"/>
      <c r="I187" s="245"/>
      <c r="J187" s="245"/>
      <c r="K187" s="125" t="s">
        <v>395</v>
      </c>
      <c r="L187" s="72"/>
      <c r="M187" s="72"/>
      <c r="N187" s="72"/>
      <c r="O187" s="72"/>
      <c r="P187" s="72"/>
      <c r="Q187" s="72"/>
      <c r="R187" s="72"/>
      <c r="S187" s="72"/>
    </row>
    <row r="188" spans="1:19" s="73" customFormat="1" x14ac:dyDescent="0.25">
      <c r="A188" s="1" t="e">
        <f ca="1">IF(B188&gt;0,SUM(MAX($A$6:A196),1),0)</f>
        <v>#REF!</v>
      </c>
      <c r="B188" s="238">
        <v>4</v>
      </c>
      <c r="C188" s="242" t="s">
        <v>411</v>
      </c>
      <c r="D188" s="238" t="s">
        <v>300</v>
      </c>
      <c r="E188" s="241" t="s">
        <v>26</v>
      </c>
      <c r="F188" s="120">
        <v>2</v>
      </c>
      <c r="G188" s="123">
        <v>980</v>
      </c>
      <c r="H188" s="240" t="str">
        <f>IF(AND(Q188&lt;3600,Q188&gt;0),"nhỏ",IF(AND(Q188&gt;=3600,Q188&lt;72000),"vừa",IF(Q188&lt;&gt;0,"lớn",0)))</f>
        <v>vừa</v>
      </c>
      <c r="I188" s="240"/>
      <c r="J188" s="235">
        <v>180</v>
      </c>
      <c r="K188" s="235" t="s">
        <v>412</v>
      </c>
      <c r="L188" s="72"/>
      <c r="M188" s="72"/>
      <c r="N188" s="72"/>
      <c r="O188" s="72"/>
      <c r="P188" s="72"/>
      <c r="Q188" s="72">
        <f>F188*G188+F189*G189</f>
        <v>4760</v>
      </c>
      <c r="R188" s="72"/>
      <c r="S188" s="72"/>
    </row>
    <row r="189" spans="1:19" s="79" customFormat="1" x14ac:dyDescent="0.25">
      <c r="A189" s="1">
        <f>IF(B189&gt;0,SUM(MAX($A$6:A188),1),0)</f>
        <v>0</v>
      </c>
      <c r="B189" s="238"/>
      <c r="C189" s="242"/>
      <c r="D189" s="238"/>
      <c r="E189" s="241"/>
      <c r="F189" s="120">
        <v>2</v>
      </c>
      <c r="G189" s="123">
        <v>1400</v>
      </c>
      <c r="H189" s="240"/>
      <c r="I189" s="240"/>
      <c r="J189" s="235"/>
      <c r="K189" s="235"/>
      <c r="L189" s="78"/>
      <c r="M189" s="78"/>
      <c r="N189" s="78"/>
      <c r="O189" s="78"/>
      <c r="P189" s="78"/>
      <c r="Q189" s="78"/>
      <c r="R189" s="78"/>
      <c r="S189" s="78"/>
    </row>
    <row r="190" spans="1:19" s="73" customFormat="1" ht="25.5" customHeight="1" x14ac:dyDescent="0.25">
      <c r="A190" s="1" t="e">
        <f ca="1">IF(B190&gt;0,SUM(MAX($A$6:A187),1),0)</f>
        <v>#REF!</v>
      </c>
      <c r="B190" s="120">
        <v>5</v>
      </c>
      <c r="C190" s="121" t="s">
        <v>396</v>
      </c>
      <c r="D190" s="120" t="s">
        <v>369</v>
      </c>
      <c r="E190" s="144" t="s">
        <v>26</v>
      </c>
      <c r="F190" s="120">
        <v>14</v>
      </c>
      <c r="G190" s="123">
        <v>4000</v>
      </c>
      <c r="H190" s="124" t="str">
        <f t="shared" ref="H190:H196" si="14">IF(AND(Q190&lt;3600,Q190&gt;0),"nhỏ",IF(AND(Q190&gt;=3600,Q190&lt;72000),"vừa",IF(Q190&lt;&gt;0,"lớn",0)))</f>
        <v>vừa</v>
      </c>
      <c r="I190" s="124"/>
      <c r="J190" s="123">
        <v>2200</v>
      </c>
      <c r="K190" s="125" t="s">
        <v>397</v>
      </c>
      <c r="L190" s="72"/>
      <c r="M190" s="72"/>
      <c r="N190" s="72"/>
      <c r="O190" s="72"/>
      <c r="P190" s="72"/>
      <c r="Q190" s="72">
        <f>F190*G190</f>
        <v>56000</v>
      </c>
      <c r="R190" s="72"/>
      <c r="S190" s="72"/>
    </row>
    <row r="191" spans="1:19" s="73" customFormat="1" ht="21.75" customHeight="1" x14ac:dyDescent="0.25">
      <c r="A191" s="1"/>
      <c r="B191" s="120">
        <v>6</v>
      </c>
      <c r="C191" s="121" t="s">
        <v>401</v>
      </c>
      <c r="D191" s="120" t="s">
        <v>373</v>
      </c>
      <c r="E191" s="144" t="s">
        <v>224</v>
      </c>
      <c r="F191" s="120">
        <v>4</v>
      </c>
      <c r="G191" s="123">
        <v>980</v>
      </c>
      <c r="H191" s="124" t="str">
        <f t="shared" si="14"/>
        <v>vừa</v>
      </c>
      <c r="I191" s="124"/>
      <c r="J191" s="145">
        <v>450</v>
      </c>
      <c r="K191" s="125" t="s">
        <v>402</v>
      </c>
      <c r="L191" s="72"/>
      <c r="M191" s="72"/>
      <c r="N191" s="72"/>
      <c r="O191" s="72"/>
      <c r="P191" s="72"/>
      <c r="Q191" s="72">
        <f>F191*G191</f>
        <v>3920</v>
      </c>
      <c r="R191" s="72"/>
      <c r="S191" s="72"/>
    </row>
    <row r="192" spans="1:19" s="73" customFormat="1" ht="21.75" customHeight="1" x14ac:dyDescent="0.25">
      <c r="A192" s="1"/>
      <c r="B192" s="120">
        <v>7</v>
      </c>
      <c r="C192" s="121" t="s">
        <v>381</v>
      </c>
      <c r="D192" s="120" t="s">
        <v>381</v>
      </c>
      <c r="E192" s="144" t="s">
        <v>403</v>
      </c>
      <c r="F192" s="120">
        <v>2</v>
      </c>
      <c r="G192" s="123">
        <v>2400</v>
      </c>
      <c r="H192" s="124" t="str">
        <f t="shared" si="14"/>
        <v>vừa</v>
      </c>
      <c r="I192" s="124"/>
      <c r="J192" s="123">
        <v>125</v>
      </c>
      <c r="K192" s="144"/>
      <c r="L192" s="72"/>
      <c r="M192" s="72"/>
      <c r="N192" s="72"/>
      <c r="O192" s="72"/>
      <c r="P192" s="72"/>
      <c r="Q192" s="72">
        <f t="shared" ref="Q192:Q196" si="15">F192*G192</f>
        <v>4800</v>
      </c>
      <c r="R192" s="72"/>
      <c r="S192" s="72"/>
    </row>
    <row r="193" spans="1:19" s="73" customFormat="1" ht="21.75" customHeight="1" x14ac:dyDescent="0.25">
      <c r="A193" s="1" t="e">
        <f ca="1">IF(B193&gt;0,SUM(MAX($A$6:A195),1),0)</f>
        <v>#REF!</v>
      </c>
      <c r="B193" s="120">
        <v>8</v>
      </c>
      <c r="C193" s="121" t="s">
        <v>408</v>
      </c>
      <c r="D193" s="120" t="s">
        <v>366</v>
      </c>
      <c r="E193" s="144" t="s">
        <v>403</v>
      </c>
      <c r="F193" s="120">
        <v>1</v>
      </c>
      <c r="G193" s="123">
        <v>2400</v>
      </c>
      <c r="H193" s="124" t="str">
        <f>IF(AND(Q193&lt;3600,Q193&gt;0),"nhỏ",IF(AND(Q193&gt;=3600,Q193&lt;72000),"vừa",IF(Q193&lt;&gt;0,"lớn",0)))</f>
        <v>nhỏ</v>
      </c>
      <c r="I193" s="124"/>
      <c r="J193" s="123">
        <v>70</v>
      </c>
      <c r="K193" s="144"/>
      <c r="L193" s="72"/>
      <c r="M193" s="72"/>
      <c r="N193" s="72"/>
      <c r="O193" s="72"/>
      <c r="P193" s="72"/>
      <c r="Q193" s="72">
        <f>F193*G193</f>
        <v>2400</v>
      </c>
      <c r="R193" s="72"/>
      <c r="S193" s="72"/>
    </row>
    <row r="194" spans="1:19" s="73" customFormat="1" ht="21.75" customHeight="1" x14ac:dyDescent="0.25">
      <c r="A194" s="1" t="e">
        <f ca="1">IF(B194&gt;0,SUM(MAX($A$6:A196),1),0)</f>
        <v>#REF!</v>
      </c>
      <c r="B194" s="120">
        <v>9</v>
      </c>
      <c r="C194" s="121" t="s">
        <v>410</v>
      </c>
      <c r="D194" s="120" t="s">
        <v>407</v>
      </c>
      <c r="E194" s="144" t="s">
        <v>382</v>
      </c>
      <c r="F194" s="120">
        <v>2</v>
      </c>
      <c r="G194" s="123">
        <v>980</v>
      </c>
      <c r="H194" s="124" t="str">
        <f>IF(AND(Q194&lt;3600,Q194&gt;0),"nhỏ",IF(AND(Q194&gt;=3600,Q194&lt;72000),"vừa",IF(Q194&lt;&gt;0,"lớn",0)))</f>
        <v>nhỏ</v>
      </c>
      <c r="I194" s="124"/>
      <c r="J194" s="123">
        <v>146</v>
      </c>
      <c r="K194" s="144"/>
      <c r="L194" s="72"/>
      <c r="M194" s="72"/>
      <c r="N194" s="72"/>
      <c r="O194" s="72"/>
      <c r="P194" s="72"/>
      <c r="Q194" s="72">
        <f>F194*G194</f>
        <v>1960</v>
      </c>
      <c r="R194" s="72"/>
      <c r="S194" s="72"/>
    </row>
    <row r="195" spans="1:19" s="73" customFormat="1" ht="21.75" customHeight="1" x14ac:dyDescent="0.25">
      <c r="A195" s="1" t="e">
        <f ca="1">IF(B195&gt;0,SUM(MAX($A$6:A192),1),0)</f>
        <v>#REF!</v>
      </c>
      <c r="B195" s="120">
        <v>10</v>
      </c>
      <c r="C195" s="121" t="s">
        <v>406</v>
      </c>
      <c r="D195" s="120" t="s">
        <v>407</v>
      </c>
      <c r="E195" s="144" t="s">
        <v>202</v>
      </c>
      <c r="F195" s="120">
        <v>3</v>
      </c>
      <c r="G195" s="123">
        <v>1900</v>
      </c>
      <c r="H195" s="124" t="str">
        <f t="shared" si="14"/>
        <v>vừa</v>
      </c>
      <c r="I195" s="124"/>
      <c r="J195" s="123">
        <v>159</v>
      </c>
      <c r="K195" s="144"/>
      <c r="L195" s="72"/>
      <c r="M195" s="72"/>
      <c r="N195" s="72"/>
      <c r="O195" s="72"/>
      <c r="P195" s="72"/>
      <c r="Q195" s="72">
        <f t="shared" si="15"/>
        <v>5700</v>
      </c>
      <c r="R195" s="72"/>
      <c r="S195" s="72"/>
    </row>
    <row r="196" spans="1:19" s="73" customFormat="1" ht="21.75" customHeight="1" x14ac:dyDescent="0.25">
      <c r="A196" s="1" t="e">
        <f ca="1">IF(B196&gt;0,SUM(MAX($A$6:A195),1),0)</f>
        <v>#REF!</v>
      </c>
      <c r="B196" s="120">
        <v>11</v>
      </c>
      <c r="C196" s="121" t="s">
        <v>409</v>
      </c>
      <c r="D196" s="120" t="s">
        <v>407</v>
      </c>
      <c r="E196" s="144" t="s">
        <v>202</v>
      </c>
      <c r="F196" s="120">
        <v>1</v>
      </c>
      <c r="G196" s="123">
        <v>1500</v>
      </c>
      <c r="H196" s="124" t="str">
        <f t="shared" si="14"/>
        <v>nhỏ</v>
      </c>
      <c r="I196" s="124"/>
      <c r="J196" s="123">
        <v>60</v>
      </c>
      <c r="K196" s="144"/>
      <c r="L196" s="72"/>
      <c r="M196" s="72"/>
      <c r="N196" s="72"/>
      <c r="O196" s="72"/>
      <c r="P196" s="72"/>
      <c r="Q196" s="72">
        <f t="shared" si="15"/>
        <v>1500</v>
      </c>
      <c r="R196" s="72"/>
      <c r="S196" s="72"/>
    </row>
    <row r="197" spans="1:19" s="73" customFormat="1" ht="21.75" customHeight="1" x14ac:dyDescent="0.25">
      <c r="A197" s="1" t="e">
        <f ca="1">IF(B197&gt;0,SUM(MAX($A$6:A201),1),0)</f>
        <v>#REF!</v>
      </c>
      <c r="B197" s="120">
        <v>12</v>
      </c>
      <c r="C197" s="121" t="s">
        <v>418</v>
      </c>
      <c r="D197" s="120" t="s">
        <v>239</v>
      </c>
      <c r="E197" s="146" t="s">
        <v>344</v>
      </c>
      <c r="F197" s="120">
        <v>7</v>
      </c>
      <c r="G197" s="123">
        <v>1120</v>
      </c>
      <c r="H197" s="124" t="str">
        <f>IF(AND(Q197&lt;3600,Q197&gt;0),"nhỏ",IF(AND(Q197&gt;=3600,Q197&lt;72000),"vừa",IF(Q197&lt;&gt;0,"lớn",0)))</f>
        <v>vừa</v>
      </c>
      <c r="I197" s="123">
        <v>225</v>
      </c>
      <c r="J197" s="135">
        <v>450</v>
      </c>
      <c r="K197" s="135" t="s">
        <v>419</v>
      </c>
      <c r="L197" s="72"/>
      <c r="M197" s="72"/>
      <c r="N197" s="72"/>
      <c r="O197" s="72"/>
      <c r="P197" s="72"/>
      <c r="Q197" s="72">
        <f>F197*G197</f>
        <v>7840</v>
      </c>
      <c r="R197" s="72"/>
      <c r="S197" s="72"/>
    </row>
    <row r="198" spans="1:19" s="73" customFormat="1" ht="21.75" customHeight="1" x14ac:dyDescent="0.25">
      <c r="A198" s="1" t="e">
        <f ca="1">IF(B198&gt;0,SUM(MAX($A$6:A196),1),0)</f>
        <v>#REF!</v>
      </c>
      <c r="B198" s="120">
        <v>13</v>
      </c>
      <c r="C198" s="121" t="s">
        <v>357</v>
      </c>
      <c r="D198" s="120" t="s">
        <v>357</v>
      </c>
      <c r="E198" s="146" t="s">
        <v>344</v>
      </c>
      <c r="F198" s="120">
        <v>28</v>
      </c>
      <c r="G198" s="123">
        <v>8144</v>
      </c>
      <c r="H198" s="124" t="str">
        <f t="shared" ref="H198:H219" si="16">IF(AND(Q198&lt;3600,Q198&gt;0),"nhỏ",IF(AND(Q198&gt;=3600,Q198&lt;72000),"vừa",IF(Q198&lt;&gt;0,"lớn",0)))</f>
        <v>lớn</v>
      </c>
      <c r="I198" s="123">
        <v>2931</v>
      </c>
      <c r="J198" s="135">
        <v>9284</v>
      </c>
      <c r="K198" s="125" t="s">
        <v>413</v>
      </c>
      <c r="L198" s="72"/>
      <c r="M198" s="72"/>
      <c r="N198" s="72"/>
      <c r="O198" s="72"/>
      <c r="P198" s="72"/>
      <c r="Q198" s="72">
        <f>F198*G198</f>
        <v>228032</v>
      </c>
      <c r="R198" s="72"/>
      <c r="S198" s="72"/>
    </row>
    <row r="199" spans="1:19" s="73" customFormat="1" ht="21.75" customHeight="1" x14ac:dyDescent="0.25">
      <c r="A199" s="1" t="e">
        <f ca="1">IF(B199&gt;0,SUM(MAX($A$6:A202),1),0)</f>
        <v>#REF!</v>
      </c>
      <c r="B199" s="120">
        <v>14</v>
      </c>
      <c r="C199" s="121" t="s">
        <v>422</v>
      </c>
      <c r="D199" s="120" t="s">
        <v>388</v>
      </c>
      <c r="E199" s="144" t="s">
        <v>26</v>
      </c>
      <c r="F199" s="120">
        <v>14</v>
      </c>
      <c r="G199" s="123">
        <v>4000</v>
      </c>
      <c r="H199" s="124" t="str">
        <f>IF(AND(Q199&lt;3600,Q199&gt;0),"nhỏ",IF(AND(Q199&gt;=3600,Q199&lt;72000),"vừa",IF(Q199&lt;&gt;0,"lớn",0)))</f>
        <v>vừa</v>
      </c>
      <c r="I199" s="123">
        <v>1850</v>
      </c>
      <c r="J199" s="135">
        <v>2850</v>
      </c>
      <c r="K199" s="125" t="s">
        <v>423</v>
      </c>
      <c r="L199" s="72"/>
      <c r="M199" s="72"/>
      <c r="N199" s="72"/>
      <c r="O199" s="72"/>
      <c r="P199" s="72"/>
      <c r="Q199" s="72">
        <f>F199*G199</f>
        <v>56000</v>
      </c>
      <c r="R199" s="72"/>
      <c r="S199" s="72"/>
    </row>
    <row r="200" spans="1:19" s="73" customFormat="1" ht="21.75" customHeight="1" x14ac:dyDescent="0.25">
      <c r="A200" s="1" t="e">
        <f ca="1">IF(B200&gt;0,SUM(MAX($A$6:A198),1),0)</f>
        <v>#REF!</v>
      </c>
      <c r="B200" s="120">
        <v>15</v>
      </c>
      <c r="C200" s="121" t="s">
        <v>414</v>
      </c>
      <c r="D200" s="120" t="s">
        <v>373</v>
      </c>
      <c r="E200" s="144" t="s">
        <v>224</v>
      </c>
      <c r="F200" s="120">
        <v>4</v>
      </c>
      <c r="G200" s="123">
        <v>4000</v>
      </c>
      <c r="H200" s="124" t="str">
        <f t="shared" si="16"/>
        <v>vừa</v>
      </c>
      <c r="I200" s="135">
        <v>515</v>
      </c>
      <c r="J200" s="135">
        <v>630</v>
      </c>
      <c r="K200" s="135" t="s">
        <v>415</v>
      </c>
      <c r="L200" s="72"/>
      <c r="M200" s="72"/>
      <c r="N200" s="72"/>
      <c r="O200" s="72"/>
      <c r="P200" s="72"/>
      <c r="Q200" s="72">
        <f t="shared" ref="Q200:Q218" si="17">F200*G200</f>
        <v>16000</v>
      </c>
      <c r="R200" s="72"/>
      <c r="S200" s="72"/>
    </row>
    <row r="201" spans="1:19" s="73" customFormat="1" ht="21.75" customHeight="1" x14ac:dyDescent="0.25">
      <c r="A201" s="1" t="e">
        <f ca="1">IF(B201&gt;0,SUM(MAX($A$6:A200),1),0)</f>
        <v>#REF!</v>
      </c>
      <c r="B201" s="120">
        <v>16</v>
      </c>
      <c r="C201" s="121" t="s">
        <v>416</v>
      </c>
      <c r="D201" s="120" t="s">
        <v>373</v>
      </c>
      <c r="E201" s="144" t="s">
        <v>224</v>
      </c>
      <c r="F201" s="120">
        <v>7</v>
      </c>
      <c r="G201" s="123">
        <v>1120</v>
      </c>
      <c r="H201" s="124" t="str">
        <f t="shared" si="16"/>
        <v>vừa</v>
      </c>
      <c r="I201" s="135">
        <v>195</v>
      </c>
      <c r="J201" s="135">
        <v>350</v>
      </c>
      <c r="K201" s="135" t="s">
        <v>417</v>
      </c>
      <c r="L201" s="72"/>
      <c r="M201" s="72"/>
      <c r="N201" s="72"/>
      <c r="O201" s="72"/>
      <c r="P201" s="72"/>
      <c r="Q201" s="72">
        <f t="shared" si="17"/>
        <v>7840</v>
      </c>
      <c r="R201" s="72"/>
      <c r="S201" s="72"/>
    </row>
    <row r="202" spans="1:19" s="73" customFormat="1" ht="21.75" customHeight="1" x14ac:dyDescent="0.25">
      <c r="A202" s="1" t="e">
        <f ca="1">IF(B202&gt;0,SUM(MAX($A$6:A201),1),0)</f>
        <v>#REF!</v>
      </c>
      <c r="B202" s="120">
        <v>17</v>
      </c>
      <c r="C202" s="121" t="s">
        <v>420</v>
      </c>
      <c r="D202" s="120" t="s">
        <v>421</v>
      </c>
      <c r="E202" s="144" t="s">
        <v>382</v>
      </c>
      <c r="F202" s="120">
        <v>5</v>
      </c>
      <c r="G202" s="123">
        <v>980</v>
      </c>
      <c r="H202" s="124" t="str">
        <f t="shared" si="16"/>
        <v>vừa</v>
      </c>
      <c r="I202" s="123">
        <v>176</v>
      </c>
      <c r="J202" s="135">
        <v>850</v>
      </c>
      <c r="K202" s="144"/>
      <c r="L202" s="72"/>
      <c r="M202" s="72"/>
      <c r="N202" s="72"/>
      <c r="O202" s="72"/>
      <c r="P202" s="72"/>
      <c r="Q202" s="72">
        <f t="shared" si="17"/>
        <v>4900</v>
      </c>
      <c r="R202" s="72"/>
      <c r="S202" s="72"/>
    </row>
    <row r="203" spans="1:19" s="73" customFormat="1" ht="21.75" customHeight="1" x14ac:dyDescent="0.25">
      <c r="A203" s="1" t="e">
        <f ca="1">IF(B203&gt;0,SUM(MAX($A$6:A222),1),0)</f>
        <v>#REF!</v>
      </c>
      <c r="B203" s="120">
        <v>18</v>
      </c>
      <c r="C203" s="121" t="s">
        <v>432</v>
      </c>
      <c r="D203" s="120" t="s">
        <v>407</v>
      </c>
      <c r="E203" s="144" t="s">
        <v>382</v>
      </c>
      <c r="F203" s="120">
        <v>3</v>
      </c>
      <c r="G203" s="123">
        <v>1900</v>
      </c>
      <c r="H203" s="124" t="str">
        <f>IF(AND(Q203&lt;3600,Q203&gt;0),"nhỏ",IF(AND(Q203&gt;=3600,Q203&lt;72000),"vừa",IF(Q203&lt;&gt;0,"lớn",0)))</f>
        <v>vừa</v>
      </c>
      <c r="I203" s="123">
        <v>50</v>
      </c>
      <c r="J203" s="123">
        <v>50</v>
      </c>
      <c r="K203" s="144"/>
      <c r="L203" s="72"/>
      <c r="M203" s="72"/>
      <c r="N203" s="72"/>
      <c r="O203" s="72"/>
      <c r="P203" s="72"/>
      <c r="Q203" s="72">
        <f>F203*G203</f>
        <v>5700</v>
      </c>
      <c r="R203" s="72"/>
      <c r="S203" s="72"/>
    </row>
    <row r="204" spans="1:19" s="73" customFormat="1" x14ac:dyDescent="0.25">
      <c r="A204" s="1" t="e">
        <f ca="1">IF(B204&gt;0,SUM(MAX($A$6:A223),1),0)</f>
        <v>#REF!</v>
      </c>
      <c r="B204" s="238">
        <v>19</v>
      </c>
      <c r="C204" s="242" t="s">
        <v>434</v>
      </c>
      <c r="D204" s="238" t="s">
        <v>381</v>
      </c>
      <c r="E204" s="244" t="s">
        <v>382</v>
      </c>
      <c r="F204" s="120">
        <v>1</v>
      </c>
      <c r="G204" s="123">
        <v>980</v>
      </c>
      <c r="H204" s="240" t="str">
        <f>IF(AND(Q204&lt;3600,Q204&gt;0),"nhỏ",IF(AND(Q204&gt;=3600,Q204&lt;72000),"vừa",IF(Q204&lt;&gt;0,"lớn",0)))</f>
        <v>vừa</v>
      </c>
      <c r="I204" s="235">
        <v>265</v>
      </c>
      <c r="J204" s="243">
        <v>180</v>
      </c>
      <c r="K204" s="144"/>
      <c r="L204" s="72"/>
      <c r="M204" s="72"/>
      <c r="N204" s="72"/>
      <c r="O204" s="72"/>
      <c r="P204" s="72"/>
      <c r="Q204" s="72">
        <f>F204*G204+F205*G205</f>
        <v>5180</v>
      </c>
      <c r="R204" s="72"/>
      <c r="S204" s="72"/>
    </row>
    <row r="205" spans="1:19" s="73" customFormat="1" x14ac:dyDescent="0.25">
      <c r="A205" s="1">
        <f>IF(B205&gt;0,SUM(MAX($A$6:A204),1),0)</f>
        <v>0</v>
      </c>
      <c r="B205" s="238"/>
      <c r="C205" s="242"/>
      <c r="D205" s="238"/>
      <c r="E205" s="244"/>
      <c r="F205" s="120">
        <v>3</v>
      </c>
      <c r="G205" s="123">
        <v>1400</v>
      </c>
      <c r="H205" s="240"/>
      <c r="I205" s="235"/>
      <c r="J205" s="243"/>
      <c r="K205" s="144"/>
      <c r="L205" s="72"/>
      <c r="M205" s="72"/>
      <c r="N205" s="72"/>
      <c r="O205" s="72"/>
      <c r="P205" s="72"/>
      <c r="Q205" s="72"/>
      <c r="R205" s="72"/>
      <c r="S205" s="72"/>
    </row>
    <row r="206" spans="1:19" s="73" customFormat="1" x14ac:dyDescent="0.25">
      <c r="A206" s="1" t="e">
        <f ca="1">IF(B206&gt;0,SUM(MAX($A$6:A205),1),0)</f>
        <v>#REF!</v>
      </c>
      <c r="B206" s="120">
        <v>20</v>
      </c>
      <c r="C206" s="121" t="s">
        <v>435</v>
      </c>
      <c r="D206" s="120" t="s">
        <v>407</v>
      </c>
      <c r="E206" s="144" t="s">
        <v>382</v>
      </c>
      <c r="F206" s="120">
        <v>2</v>
      </c>
      <c r="G206" s="123">
        <v>980</v>
      </c>
      <c r="H206" s="124" t="str">
        <f>IF(AND(Q206&lt;3600,Q206&gt;0),"nhỏ",IF(AND(Q206&gt;=3600,Q206&lt;72000),"vừa",IF(Q206&lt;&gt;0,"lớn",0)))</f>
        <v>nhỏ</v>
      </c>
      <c r="I206" s="123">
        <v>40</v>
      </c>
      <c r="J206" s="135">
        <v>42</v>
      </c>
      <c r="K206" s="144"/>
      <c r="L206" s="72"/>
      <c r="M206" s="72"/>
      <c r="N206" s="72"/>
      <c r="O206" s="72"/>
      <c r="P206" s="72"/>
      <c r="Q206" s="72">
        <f>F206*G206</f>
        <v>1960</v>
      </c>
      <c r="R206" s="72"/>
      <c r="S206" s="72"/>
    </row>
    <row r="207" spans="1:19" s="73" customFormat="1" x14ac:dyDescent="0.25">
      <c r="A207" s="1" t="e">
        <f ca="1">IF(B207&gt;0,SUM(MAX($A$6:A206),1),0)</f>
        <v>#REF!</v>
      </c>
      <c r="B207" s="120">
        <v>21</v>
      </c>
      <c r="C207" s="121" t="s">
        <v>436</v>
      </c>
      <c r="D207" s="120" t="s">
        <v>407</v>
      </c>
      <c r="E207" s="144" t="s">
        <v>382</v>
      </c>
      <c r="F207" s="120">
        <v>1</v>
      </c>
      <c r="G207" s="123">
        <v>1120</v>
      </c>
      <c r="H207" s="124" t="str">
        <f>IF(AND(Q207&lt;3600,Q207&gt;0),"nhỏ",IF(AND(Q207&gt;=3600,Q207&lt;72000),"vừa",IF(Q207&lt;&gt;0,"lớn",0)))</f>
        <v>nhỏ</v>
      </c>
      <c r="I207" s="123">
        <v>60</v>
      </c>
      <c r="J207" s="135">
        <v>80</v>
      </c>
      <c r="K207" s="144"/>
      <c r="L207" s="72"/>
      <c r="M207" s="72"/>
      <c r="N207" s="72"/>
      <c r="O207" s="72"/>
      <c r="P207" s="72"/>
      <c r="Q207" s="72">
        <f>F207*G207</f>
        <v>1120</v>
      </c>
      <c r="R207" s="72"/>
      <c r="S207" s="72"/>
    </row>
    <row r="208" spans="1:19" s="73" customFormat="1" x14ac:dyDescent="0.25">
      <c r="A208" s="1" t="e">
        <f ca="1">IF(B208&gt;0,SUM(MAX($A$6:A207),1),0)</f>
        <v>#REF!</v>
      </c>
      <c r="B208" s="238">
        <v>22</v>
      </c>
      <c r="C208" s="242" t="s">
        <v>437</v>
      </c>
      <c r="D208" s="238" t="s">
        <v>407</v>
      </c>
      <c r="E208" s="241" t="s">
        <v>382</v>
      </c>
      <c r="F208" s="120">
        <v>1</v>
      </c>
      <c r="G208" s="123">
        <v>980</v>
      </c>
      <c r="H208" s="240" t="str">
        <f>IF(AND(Q208&lt;3600,Q208&gt;0),"nhỏ",IF(AND(Q208&gt;=3600,Q208&lt;72000),"vừa",IF(Q208&lt;&gt;0,"lớn",0)))</f>
        <v>nhỏ</v>
      </c>
      <c r="I208" s="235">
        <v>227</v>
      </c>
      <c r="J208" s="243">
        <v>60</v>
      </c>
      <c r="K208" s="144"/>
      <c r="L208" s="72"/>
      <c r="M208" s="72"/>
      <c r="N208" s="72"/>
      <c r="O208" s="72"/>
      <c r="P208" s="72"/>
      <c r="Q208" s="72">
        <f>F208*G208+F209*G209</f>
        <v>2100</v>
      </c>
      <c r="R208" s="72"/>
      <c r="S208" s="72"/>
    </row>
    <row r="209" spans="1:19" s="73" customFormat="1" x14ac:dyDescent="0.25">
      <c r="A209" s="1">
        <f>IF(B209&gt;0,SUM(MAX($A$6:A208),1),0)</f>
        <v>0</v>
      </c>
      <c r="B209" s="238"/>
      <c r="C209" s="242"/>
      <c r="D209" s="238"/>
      <c r="E209" s="241"/>
      <c r="F209" s="120">
        <v>1</v>
      </c>
      <c r="G209" s="123">
        <v>1120</v>
      </c>
      <c r="H209" s="240"/>
      <c r="I209" s="235"/>
      <c r="J209" s="243"/>
      <c r="K209" s="144"/>
      <c r="L209" s="72"/>
      <c r="M209" s="72"/>
      <c r="N209" s="72"/>
      <c r="O209" s="72"/>
      <c r="P209" s="72"/>
      <c r="Q209" s="72"/>
      <c r="R209" s="72"/>
      <c r="S209" s="72"/>
    </row>
    <row r="210" spans="1:19" s="73" customFormat="1" x14ac:dyDescent="0.25">
      <c r="A210" s="1" t="e">
        <f ca="1">IF(B210&gt;0,SUM(MAX($A$6:A225),1),0)</f>
        <v>#REF!</v>
      </c>
      <c r="B210" s="238">
        <v>23</v>
      </c>
      <c r="C210" s="242" t="s">
        <v>441</v>
      </c>
      <c r="D210" s="238" t="s">
        <v>421</v>
      </c>
      <c r="E210" s="241" t="s">
        <v>382</v>
      </c>
      <c r="F210" s="120">
        <v>1</v>
      </c>
      <c r="G210" s="123">
        <v>980</v>
      </c>
      <c r="H210" s="240" t="str">
        <f>IF(AND(Q210&lt;3600,Q210&gt;0),"nhỏ",IF(AND(Q210&gt;=3600,Q210&lt;72000),"vừa",IF(Q210&lt;&gt;0,"lớn",0)))</f>
        <v>nhỏ</v>
      </c>
      <c r="I210" s="235">
        <v>77</v>
      </c>
      <c r="J210" s="243">
        <v>117</v>
      </c>
      <c r="K210" s="144"/>
      <c r="L210" s="72"/>
      <c r="M210" s="72"/>
      <c r="N210" s="72"/>
      <c r="O210" s="72"/>
      <c r="P210" s="72"/>
      <c r="Q210" s="72">
        <f>F210*G210+F211*G211</f>
        <v>1880</v>
      </c>
      <c r="R210" s="72"/>
      <c r="S210" s="72"/>
    </row>
    <row r="211" spans="1:19" s="76" customFormat="1" x14ac:dyDescent="0.25">
      <c r="A211" s="1">
        <f>IF(B211&gt;0,SUM(MAX($A$6:A210),1),0)</f>
        <v>0</v>
      </c>
      <c r="B211" s="238"/>
      <c r="C211" s="242"/>
      <c r="D211" s="238"/>
      <c r="E211" s="241"/>
      <c r="F211" s="120">
        <v>1</v>
      </c>
      <c r="G211" s="123">
        <v>900</v>
      </c>
      <c r="H211" s="240"/>
      <c r="I211" s="235"/>
      <c r="J211" s="243"/>
      <c r="K211" s="141"/>
      <c r="L211" s="75"/>
      <c r="M211" s="75"/>
      <c r="N211" s="75"/>
      <c r="O211" s="75"/>
      <c r="P211" s="75"/>
      <c r="Q211" s="72"/>
      <c r="R211" s="75"/>
      <c r="S211" s="75"/>
    </row>
    <row r="212" spans="1:19" s="73" customFormat="1" x14ac:dyDescent="0.25">
      <c r="A212" s="1" t="e">
        <f ca="1">IF(B212&gt;0,SUM(MAX($A$6:A211),1),0)</f>
        <v>#REF!</v>
      </c>
      <c r="B212" s="120">
        <v>24</v>
      </c>
      <c r="C212" s="121" t="s">
        <v>442</v>
      </c>
      <c r="D212" s="120" t="s">
        <v>421</v>
      </c>
      <c r="E212" s="144" t="s">
        <v>382</v>
      </c>
      <c r="F212" s="120">
        <v>2</v>
      </c>
      <c r="G212" s="123">
        <v>980</v>
      </c>
      <c r="H212" s="124" t="str">
        <f>IF(AND(Q212&lt;3600,Q212&gt;0),"nhỏ",IF(AND(Q212&gt;=3600,Q212&lt;72000),"vừa",IF(Q212&lt;&gt;0,"lớn",0)))</f>
        <v>nhỏ</v>
      </c>
      <c r="I212" s="124"/>
      <c r="J212" s="124"/>
      <c r="K212" s="144"/>
      <c r="L212" s="72"/>
      <c r="M212" s="72"/>
      <c r="N212" s="72"/>
      <c r="O212" s="72"/>
      <c r="P212" s="72"/>
      <c r="Q212" s="72">
        <f>F212*G212</f>
        <v>1960</v>
      </c>
      <c r="R212" s="72"/>
      <c r="S212" s="72"/>
    </row>
    <row r="213" spans="1:19" s="73" customFormat="1" ht="16.5" customHeight="1" x14ac:dyDescent="0.25">
      <c r="A213" s="1" t="e">
        <f ca="1">IF(B213&gt;0,SUM(MAX($A$6:A225),1),0)</f>
        <v>#REF!</v>
      </c>
      <c r="B213" s="238">
        <v>25</v>
      </c>
      <c r="C213" s="242" t="s">
        <v>504</v>
      </c>
      <c r="D213" s="238" t="s">
        <v>381</v>
      </c>
      <c r="E213" s="241" t="s">
        <v>403</v>
      </c>
      <c r="F213" s="120">
        <v>1</v>
      </c>
      <c r="G213" s="123">
        <v>980</v>
      </c>
      <c r="H213" s="240" t="str">
        <f>IF(AND(Q213&lt;3600,Q213&gt;0),"nhỏ",IF(AND(Q213&gt;=3600,Q213&lt;72000),"vừa",IF(Q213&lt;&gt;0,"lớn",0)))</f>
        <v>nhỏ</v>
      </c>
      <c r="I213" s="235">
        <v>55</v>
      </c>
      <c r="J213" s="240"/>
      <c r="K213" s="144"/>
      <c r="L213" s="72"/>
      <c r="M213" s="72"/>
      <c r="N213" s="72"/>
      <c r="O213" s="72"/>
      <c r="P213" s="72"/>
      <c r="Q213" s="72">
        <f>F213*G213+F215*G215</f>
        <v>2100</v>
      </c>
      <c r="R213" s="72"/>
      <c r="S213" s="72"/>
    </row>
    <row r="214" spans="1:19" s="73" customFormat="1" x14ac:dyDescent="0.25">
      <c r="A214" s="1"/>
      <c r="B214" s="238"/>
      <c r="C214" s="242"/>
      <c r="D214" s="238"/>
      <c r="E214" s="241"/>
      <c r="F214" s="120">
        <v>1</v>
      </c>
      <c r="G214" s="123">
        <v>1120</v>
      </c>
      <c r="H214" s="240"/>
      <c r="I214" s="235"/>
      <c r="J214" s="240"/>
      <c r="K214" s="144"/>
      <c r="L214" s="72"/>
      <c r="M214" s="72"/>
      <c r="N214" s="72"/>
      <c r="O214" s="72"/>
      <c r="P214" s="72"/>
      <c r="Q214" s="72"/>
      <c r="R214" s="72"/>
      <c r="S214" s="72"/>
    </row>
    <row r="215" spans="1:19" s="73" customFormat="1" ht="22.5" customHeight="1" x14ac:dyDescent="0.25">
      <c r="A215" s="1">
        <f>IF(B215&gt;0,SUM(MAX($A$6:A213),1),0)</f>
        <v>0</v>
      </c>
      <c r="B215" s="238"/>
      <c r="C215" s="140" t="s">
        <v>505</v>
      </c>
      <c r="D215" s="238"/>
      <c r="E215" s="241"/>
      <c r="F215" s="120">
        <v>1</v>
      </c>
      <c r="G215" s="123">
        <v>1120</v>
      </c>
      <c r="H215" s="240"/>
      <c r="I215" s="235"/>
      <c r="J215" s="240"/>
      <c r="K215" s="144"/>
      <c r="L215" s="72"/>
      <c r="M215" s="72"/>
      <c r="N215" s="72"/>
      <c r="O215" s="72"/>
      <c r="P215" s="72"/>
      <c r="Q215" s="72"/>
      <c r="R215" s="72"/>
      <c r="S215" s="72"/>
    </row>
    <row r="216" spans="1:19" s="73" customFormat="1" ht="22.5" customHeight="1" x14ac:dyDescent="0.25">
      <c r="A216" s="1" t="e">
        <f ca="1">IF(B216&gt;0,SUM(MAX($A$6:A202),1),0)</f>
        <v>#REF!</v>
      </c>
      <c r="B216" s="120">
        <v>25</v>
      </c>
      <c r="C216" s="121" t="s">
        <v>424</v>
      </c>
      <c r="D216" s="120" t="s">
        <v>425</v>
      </c>
      <c r="E216" s="144" t="s">
        <v>389</v>
      </c>
      <c r="F216" s="120">
        <v>4</v>
      </c>
      <c r="G216" s="123">
        <v>980</v>
      </c>
      <c r="H216" s="124" t="str">
        <f t="shared" si="16"/>
        <v>vừa</v>
      </c>
      <c r="I216" s="123">
        <v>185</v>
      </c>
      <c r="J216" s="135">
        <v>320</v>
      </c>
      <c r="K216" s="144"/>
      <c r="L216" s="72"/>
      <c r="M216" s="72"/>
      <c r="N216" s="72"/>
      <c r="O216" s="72"/>
      <c r="P216" s="72"/>
      <c r="Q216" s="72">
        <f t="shared" si="17"/>
        <v>3920</v>
      </c>
      <c r="R216" s="72"/>
      <c r="S216" s="72"/>
    </row>
    <row r="217" spans="1:19" s="73" customFormat="1" ht="22.5" customHeight="1" x14ac:dyDescent="0.25">
      <c r="A217" s="1" t="e">
        <f ca="1">IF(B217&gt;0,SUM(MAX($A$6:A225),1),0)</f>
        <v>#REF!</v>
      </c>
      <c r="B217" s="120">
        <v>16</v>
      </c>
      <c r="C217" s="121" t="s">
        <v>440</v>
      </c>
      <c r="D217" s="120" t="s">
        <v>407</v>
      </c>
      <c r="E217" s="144" t="s">
        <v>389</v>
      </c>
      <c r="F217" s="120">
        <v>1</v>
      </c>
      <c r="G217" s="123">
        <v>1120</v>
      </c>
      <c r="H217" s="124" t="str">
        <f>IF(AND(Q217&lt;3600,Q217&gt;0),"nhỏ",IF(AND(Q217&gt;=3600,Q217&lt;72000),"vừa",IF(Q217&lt;&gt;0,"lớn",0)))</f>
        <v>nhỏ</v>
      </c>
      <c r="I217" s="123">
        <v>67</v>
      </c>
      <c r="J217" s="135">
        <v>77</v>
      </c>
      <c r="K217" s="144"/>
      <c r="L217" s="72"/>
      <c r="M217" s="72"/>
      <c r="N217" s="72"/>
      <c r="O217" s="72"/>
      <c r="P217" s="72"/>
      <c r="Q217" s="72">
        <f>F217*G217</f>
        <v>1120</v>
      </c>
      <c r="R217" s="72"/>
      <c r="S217" s="72"/>
    </row>
    <row r="218" spans="1:19" s="73" customFormat="1" ht="22.5" customHeight="1" x14ac:dyDescent="0.25">
      <c r="A218" s="1" t="e">
        <f ca="1">IF(B218&gt;0,SUM(MAX($A$6:A216),1),0)</f>
        <v>#REF!</v>
      </c>
      <c r="B218" s="120">
        <v>17</v>
      </c>
      <c r="C218" s="121" t="s">
        <v>426</v>
      </c>
      <c r="D218" s="120" t="s">
        <v>426</v>
      </c>
      <c r="E218" s="144" t="s">
        <v>427</v>
      </c>
      <c r="F218" s="120">
        <v>3</v>
      </c>
      <c r="G218" s="123">
        <v>2500</v>
      </c>
      <c r="H218" s="124" t="str">
        <f t="shared" si="16"/>
        <v>vừa</v>
      </c>
      <c r="I218" s="123">
        <v>450</v>
      </c>
      <c r="J218" s="135">
        <v>450</v>
      </c>
      <c r="K218" s="144"/>
      <c r="L218" s="72"/>
      <c r="M218" s="72"/>
      <c r="N218" s="72"/>
      <c r="O218" s="72"/>
      <c r="P218" s="72"/>
      <c r="Q218" s="72">
        <f t="shared" si="17"/>
        <v>7500</v>
      </c>
      <c r="R218" s="72"/>
      <c r="S218" s="72"/>
    </row>
    <row r="219" spans="1:19" s="73" customFormat="1" ht="14.25" customHeight="1" x14ac:dyDescent="0.25">
      <c r="A219" s="1" t="e">
        <f ca="1">IF(B219&gt;0,SUM(MAX($A$6:A218),1),0)</f>
        <v>#REF!</v>
      </c>
      <c r="B219" s="238">
        <v>18</v>
      </c>
      <c r="C219" s="242" t="s">
        <v>428</v>
      </c>
      <c r="D219" s="238" t="s">
        <v>428</v>
      </c>
      <c r="E219" s="241" t="s">
        <v>429</v>
      </c>
      <c r="F219" s="120">
        <v>5</v>
      </c>
      <c r="G219" s="123">
        <v>1120</v>
      </c>
      <c r="H219" s="240" t="str">
        <f t="shared" si="16"/>
        <v>vừa</v>
      </c>
      <c r="I219" s="235">
        <v>230</v>
      </c>
      <c r="J219" s="243">
        <v>425</v>
      </c>
      <c r="K219" s="241"/>
      <c r="L219" s="72"/>
      <c r="M219" s="72"/>
      <c r="N219" s="72"/>
      <c r="O219" s="72"/>
      <c r="P219" s="72"/>
      <c r="Q219" s="72">
        <f>F219*G219+F220*G220+F221*G221</f>
        <v>11720</v>
      </c>
      <c r="R219" s="72"/>
      <c r="S219" s="72"/>
    </row>
    <row r="220" spans="1:19" s="73" customFormat="1" ht="16.5" customHeight="1" x14ac:dyDescent="0.25">
      <c r="A220" s="1">
        <f>IF(B220&gt;0,SUM(MAX($A$6:A219),1),0)</f>
        <v>0</v>
      </c>
      <c r="B220" s="238"/>
      <c r="C220" s="242"/>
      <c r="D220" s="238"/>
      <c r="E220" s="241"/>
      <c r="F220" s="120">
        <v>2</v>
      </c>
      <c r="G220" s="123">
        <v>2500</v>
      </c>
      <c r="H220" s="240"/>
      <c r="I220" s="235"/>
      <c r="J220" s="243"/>
      <c r="K220" s="241"/>
      <c r="L220" s="72"/>
      <c r="M220" s="72"/>
      <c r="N220" s="72"/>
      <c r="O220" s="72"/>
      <c r="P220" s="72"/>
      <c r="Q220" s="72"/>
      <c r="R220" s="72"/>
      <c r="S220" s="72"/>
    </row>
    <row r="221" spans="1:19" s="73" customFormat="1" x14ac:dyDescent="0.25">
      <c r="A221" s="1">
        <f>IF(B221&gt;0,SUM(MAX($A$6:A220),1),0)</f>
        <v>0</v>
      </c>
      <c r="B221" s="238"/>
      <c r="C221" s="121" t="s">
        <v>430</v>
      </c>
      <c r="D221" s="120" t="s">
        <v>391</v>
      </c>
      <c r="E221" s="144" t="s">
        <v>431</v>
      </c>
      <c r="F221" s="120">
        <v>1</v>
      </c>
      <c r="G221" s="123">
        <v>1120</v>
      </c>
      <c r="H221" s="147"/>
      <c r="I221" s="147"/>
      <c r="J221" s="147"/>
      <c r="K221" s="241"/>
      <c r="L221" s="72"/>
      <c r="M221" s="72"/>
      <c r="N221" s="72"/>
      <c r="O221" s="72"/>
      <c r="P221" s="72"/>
      <c r="Q221" s="72"/>
      <c r="R221" s="72"/>
      <c r="S221" s="72"/>
    </row>
    <row r="222" spans="1:19" s="73" customFormat="1" ht="22.5" customHeight="1" x14ac:dyDescent="0.25">
      <c r="A222" s="1" t="e">
        <f ca="1">IF(B222&gt;0,SUM(MAX($A$6:A221),1),0)</f>
        <v>#REF!</v>
      </c>
      <c r="B222" s="120">
        <v>19</v>
      </c>
      <c r="C222" s="121" t="s">
        <v>391</v>
      </c>
      <c r="D222" s="120" t="s">
        <v>391</v>
      </c>
      <c r="E222" s="144" t="s">
        <v>392</v>
      </c>
      <c r="F222" s="120">
        <v>4</v>
      </c>
      <c r="G222" s="123">
        <v>980</v>
      </c>
      <c r="H222" s="124" t="str">
        <f t="shared" ref="H222:H225" si="18">IF(AND(Q222&lt;3600,Q222&gt;0),"nhỏ",IF(AND(Q222&gt;=3600,Q222&lt;72000),"vừa",IF(Q222&lt;&gt;0,"lớn",0)))</f>
        <v>vừa</v>
      </c>
      <c r="I222" s="123">
        <v>280</v>
      </c>
      <c r="J222" s="135">
        <v>350</v>
      </c>
      <c r="K222" s="144"/>
      <c r="L222" s="72"/>
      <c r="M222" s="72"/>
      <c r="N222" s="72"/>
      <c r="O222" s="72"/>
      <c r="P222" s="72"/>
      <c r="Q222" s="72">
        <f>F222*G222</f>
        <v>3920</v>
      </c>
      <c r="R222" s="72"/>
      <c r="S222" s="72"/>
    </row>
    <row r="223" spans="1:19" s="73" customFormat="1" ht="22.5" customHeight="1" x14ac:dyDescent="0.25">
      <c r="A223" s="1" t="e">
        <f ca="1">IF(B223&gt;0,SUM(MAX($A$6:A222),1),0)</f>
        <v>#REF!</v>
      </c>
      <c r="B223" s="120">
        <v>20</v>
      </c>
      <c r="C223" s="121" t="s">
        <v>433</v>
      </c>
      <c r="D223" s="120" t="s">
        <v>433</v>
      </c>
      <c r="E223" s="144" t="s">
        <v>355</v>
      </c>
      <c r="F223" s="120">
        <v>2</v>
      </c>
      <c r="G223" s="123">
        <v>980</v>
      </c>
      <c r="H223" s="124" t="str">
        <f t="shared" si="18"/>
        <v>nhỏ</v>
      </c>
      <c r="I223" s="123">
        <v>280</v>
      </c>
      <c r="J223" s="135">
        <f>+I223</f>
        <v>280</v>
      </c>
      <c r="K223" s="144"/>
      <c r="L223" s="72"/>
      <c r="M223" s="72"/>
      <c r="N223" s="72"/>
      <c r="O223" s="72"/>
      <c r="P223" s="72"/>
      <c r="Q223" s="72">
        <f>F223*G223</f>
        <v>1960</v>
      </c>
      <c r="R223" s="72"/>
      <c r="S223" s="72"/>
    </row>
    <row r="224" spans="1:19" s="73" customFormat="1" ht="22.5" customHeight="1" x14ac:dyDescent="0.25">
      <c r="A224" s="1" t="e">
        <f ca="1">IF(B224&gt;0,SUM(MAX($A$6:A223),1),0)</f>
        <v>#REF!</v>
      </c>
      <c r="B224" s="120">
        <v>21</v>
      </c>
      <c r="C224" s="121" t="s">
        <v>438</v>
      </c>
      <c r="D224" s="120" t="s">
        <v>407</v>
      </c>
      <c r="E224" s="144" t="s">
        <v>202</v>
      </c>
      <c r="F224" s="120">
        <v>1</v>
      </c>
      <c r="G224" s="123">
        <v>900</v>
      </c>
      <c r="H224" s="124" t="str">
        <f t="shared" si="18"/>
        <v>nhỏ</v>
      </c>
      <c r="I224" s="123">
        <v>21</v>
      </c>
      <c r="J224" s="135">
        <v>21</v>
      </c>
      <c r="K224" s="144"/>
      <c r="L224" s="72"/>
      <c r="M224" s="72"/>
      <c r="N224" s="72"/>
      <c r="O224" s="72"/>
      <c r="P224" s="72"/>
      <c r="Q224" s="72">
        <f>F224*G224</f>
        <v>900</v>
      </c>
      <c r="R224" s="72"/>
      <c r="S224" s="72"/>
    </row>
    <row r="225" spans="1:206" s="73" customFormat="1" ht="22.5" customHeight="1" x14ac:dyDescent="0.25">
      <c r="A225" s="1" t="e">
        <f ca="1">IF(B225&gt;0,SUM(MAX($A$6:A224),1),0)</f>
        <v>#REF!</v>
      </c>
      <c r="B225" s="120">
        <v>22</v>
      </c>
      <c r="C225" s="121" t="s">
        <v>439</v>
      </c>
      <c r="D225" s="120" t="s">
        <v>407</v>
      </c>
      <c r="E225" s="144" t="s">
        <v>202</v>
      </c>
      <c r="F225" s="120">
        <v>2</v>
      </c>
      <c r="G225" s="123">
        <v>1400</v>
      </c>
      <c r="H225" s="124" t="str">
        <f t="shared" si="18"/>
        <v>nhỏ</v>
      </c>
      <c r="I225" s="123">
        <v>157</v>
      </c>
      <c r="J225" s="135">
        <v>63</v>
      </c>
      <c r="K225" s="144"/>
      <c r="L225" s="72"/>
      <c r="M225" s="72"/>
      <c r="N225" s="72"/>
      <c r="O225" s="72"/>
      <c r="P225" s="72"/>
      <c r="Q225" s="72">
        <f>F225*G225</f>
        <v>2800</v>
      </c>
      <c r="R225" s="72"/>
      <c r="S225" s="72"/>
    </row>
    <row r="226" spans="1:206" s="82" customFormat="1" ht="20.25" customHeight="1" x14ac:dyDescent="0.25">
      <c r="A226" s="1"/>
      <c r="B226" s="134" t="s">
        <v>444</v>
      </c>
      <c r="C226" s="130" t="s">
        <v>531</v>
      </c>
      <c r="D226" s="134" t="str">
        <f>CONCATENATE(COUNT(B226:B229)," trạm")</f>
        <v>2 trạm</v>
      </c>
      <c r="E226" s="134"/>
      <c r="F226" s="148">
        <f>SUM(F227:F235)</f>
        <v>32</v>
      </c>
      <c r="G226" s="125"/>
      <c r="H226" s="137"/>
      <c r="I226" s="137"/>
      <c r="J226" s="137"/>
      <c r="K226" s="138"/>
      <c r="L226" s="51" t="e">
        <f>+#REF!+#REF!</f>
        <v>#REF!</v>
      </c>
      <c r="M226" s="51" t="e">
        <f>+#REF!+#REF!</f>
        <v>#REF!</v>
      </c>
      <c r="N226" s="51" t="e">
        <f>+#REF!+#REF!</f>
        <v>#REF!</v>
      </c>
      <c r="O226" s="52"/>
      <c r="P226" s="52"/>
      <c r="Q226" s="51" t="e">
        <f>#REF!+#REF!</f>
        <v>#REF!</v>
      </c>
      <c r="R226" s="52"/>
      <c r="S226" s="52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3"/>
      <c r="CT226" s="53"/>
      <c r="CU226" s="53"/>
      <c r="CV226" s="53"/>
      <c r="CW226" s="53"/>
      <c r="CX226" s="53"/>
      <c r="CY226" s="53"/>
      <c r="CZ226" s="53"/>
      <c r="DA226" s="53"/>
      <c r="DB226" s="53"/>
      <c r="DC226" s="53"/>
      <c r="DD226" s="53"/>
      <c r="DE226" s="53"/>
      <c r="DF226" s="53"/>
      <c r="DG226" s="53"/>
      <c r="DH226" s="53"/>
      <c r="DI226" s="53"/>
      <c r="DJ226" s="53"/>
      <c r="DK226" s="53"/>
      <c r="DL226" s="53"/>
      <c r="DM226" s="53"/>
      <c r="DN226" s="53"/>
      <c r="DO226" s="53"/>
      <c r="DP226" s="53"/>
      <c r="DQ226" s="53"/>
      <c r="DR226" s="53"/>
      <c r="DS226" s="53"/>
      <c r="DT226" s="53"/>
      <c r="DU226" s="53"/>
      <c r="DV226" s="53"/>
      <c r="DW226" s="53"/>
      <c r="DX226" s="53"/>
      <c r="DY226" s="53"/>
      <c r="DZ226" s="53"/>
      <c r="EA226" s="53"/>
      <c r="EB226" s="53"/>
      <c r="EC226" s="53"/>
      <c r="ED226" s="53"/>
      <c r="EE226" s="53"/>
      <c r="EF226" s="53"/>
      <c r="EG226" s="53"/>
      <c r="EH226" s="53"/>
      <c r="EI226" s="53"/>
      <c r="EJ226" s="53"/>
      <c r="EK226" s="53"/>
      <c r="EL226" s="53"/>
      <c r="EM226" s="53"/>
      <c r="EN226" s="53"/>
      <c r="EO226" s="53"/>
      <c r="EP226" s="53"/>
      <c r="EQ226" s="53"/>
      <c r="ER226" s="53"/>
      <c r="ES226" s="53"/>
      <c r="ET226" s="53"/>
      <c r="EU226" s="53"/>
      <c r="EV226" s="53"/>
      <c r="EW226" s="53"/>
      <c r="EX226" s="53"/>
      <c r="EY226" s="53"/>
      <c r="EZ226" s="53"/>
      <c r="FA226" s="53"/>
      <c r="FB226" s="53"/>
      <c r="FC226" s="53"/>
      <c r="FD226" s="53"/>
      <c r="FE226" s="53"/>
      <c r="FF226" s="53"/>
      <c r="FG226" s="53"/>
      <c r="FH226" s="53"/>
      <c r="FI226" s="53"/>
      <c r="FJ226" s="53"/>
      <c r="FK226" s="53"/>
      <c r="FL226" s="53"/>
      <c r="FM226" s="53"/>
      <c r="FN226" s="53"/>
      <c r="FO226" s="53"/>
      <c r="FP226" s="53"/>
      <c r="FQ226" s="53"/>
      <c r="FR226" s="53"/>
      <c r="FS226" s="53"/>
      <c r="FT226" s="53"/>
      <c r="FU226" s="53"/>
      <c r="FV226" s="53"/>
      <c r="FW226" s="53"/>
      <c r="FX226" s="53"/>
      <c r="FY226" s="53"/>
      <c r="FZ226" s="53"/>
      <c r="GA226" s="53"/>
      <c r="GB226" s="53"/>
      <c r="GC226" s="53"/>
      <c r="GD226" s="53"/>
      <c r="GE226" s="53"/>
      <c r="GF226" s="53"/>
      <c r="GG226" s="53"/>
      <c r="GH226" s="53"/>
      <c r="GI226" s="53"/>
      <c r="GJ226" s="53"/>
      <c r="GK226" s="53"/>
      <c r="GL226" s="53"/>
      <c r="GM226" s="53"/>
      <c r="GN226" s="53"/>
      <c r="GO226" s="53"/>
      <c r="GP226" s="53"/>
      <c r="GQ226" s="53"/>
      <c r="GR226" s="53"/>
      <c r="GS226" s="53"/>
      <c r="GT226" s="53"/>
      <c r="GU226" s="53"/>
      <c r="GV226" s="53"/>
      <c r="GW226" s="53"/>
      <c r="GX226" s="53"/>
    </row>
    <row r="227" spans="1:206" s="86" customFormat="1" x14ac:dyDescent="0.25">
      <c r="A227" s="1" t="e">
        <f ca="1">IF(B227&gt;0,SUM(MAX($A$6:A230),1),0)</f>
        <v>#REF!</v>
      </c>
      <c r="B227" s="236">
        <v>1</v>
      </c>
      <c r="C227" s="237" t="s">
        <v>461</v>
      </c>
      <c r="D227" s="236" t="s">
        <v>462</v>
      </c>
      <c r="E227" s="239" t="s">
        <v>459</v>
      </c>
      <c r="F227" s="151">
        <v>1</v>
      </c>
      <c r="G227" s="151">
        <v>980</v>
      </c>
      <c r="H227" s="240" t="str">
        <f t="shared" ref="H227:H229" si="19">IF(AND(Q227&lt;3600,Q227&gt;0),"nhỏ",IF(AND(Q227&gt;=3600,Q227&lt;72000),"vừa",IF(Q227&lt;&gt;0,"lớn",0)))</f>
        <v>vừa</v>
      </c>
      <c r="I227" s="235">
        <v>200</v>
      </c>
      <c r="J227" s="235">
        <v>200</v>
      </c>
      <c r="K227" s="235" t="s">
        <v>463</v>
      </c>
      <c r="L227" s="55"/>
      <c r="M227" s="56"/>
      <c r="N227" s="56"/>
      <c r="O227" s="56"/>
      <c r="P227" s="56"/>
      <c r="Q227" s="55">
        <f>F227*G227+F228*G228</f>
        <v>6830</v>
      </c>
      <c r="R227" s="56"/>
      <c r="S227" s="56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  <c r="EN227" s="57"/>
      <c r="EO227" s="57"/>
      <c r="EP227" s="57"/>
      <c r="EQ227" s="57"/>
      <c r="ER227" s="57"/>
      <c r="ES227" s="57"/>
      <c r="ET227" s="57"/>
      <c r="EU227" s="57"/>
      <c r="EV227" s="57"/>
      <c r="EW227" s="57"/>
      <c r="EX227" s="57"/>
      <c r="EY227" s="57"/>
      <c r="EZ227" s="57"/>
      <c r="FA227" s="57"/>
      <c r="FB227" s="57"/>
      <c r="FC227" s="57"/>
      <c r="FD227" s="57"/>
      <c r="FE227" s="57"/>
      <c r="FF227" s="57"/>
      <c r="FG227" s="57"/>
      <c r="FH227" s="57"/>
      <c r="FI227" s="57"/>
      <c r="FJ227" s="57"/>
      <c r="FK227" s="57"/>
      <c r="FL227" s="57"/>
      <c r="FM227" s="57"/>
      <c r="FN227" s="57"/>
      <c r="FO227" s="57"/>
      <c r="FP227" s="57"/>
      <c r="FQ227" s="57"/>
      <c r="FR227" s="57"/>
      <c r="FS227" s="57"/>
      <c r="FT227" s="57"/>
      <c r="FU227" s="57"/>
      <c r="FV227" s="57"/>
      <c r="FW227" s="57"/>
      <c r="FX227" s="57"/>
      <c r="FY227" s="57"/>
      <c r="FZ227" s="57"/>
      <c r="GA227" s="57"/>
      <c r="GB227" s="57"/>
      <c r="GC227" s="57"/>
      <c r="GD227" s="57"/>
      <c r="GE227" s="57"/>
      <c r="GF227" s="57"/>
      <c r="GG227" s="57"/>
      <c r="GH227" s="57"/>
      <c r="GI227" s="57"/>
      <c r="GJ227" s="57"/>
      <c r="GK227" s="57"/>
      <c r="GL227" s="57"/>
      <c r="GM227" s="57"/>
      <c r="GN227" s="57"/>
      <c r="GO227" s="57"/>
      <c r="GP227" s="57"/>
      <c r="GQ227" s="57"/>
      <c r="GR227" s="57"/>
      <c r="GS227" s="57"/>
      <c r="GT227" s="57"/>
      <c r="GU227" s="57"/>
      <c r="GV227" s="57"/>
      <c r="GW227" s="57"/>
      <c r="GX227" s="57"/>
    </row>
    <row r="228" spans="1:206" s="86" customFormat="1" x14ac:dyDescent="0.25">
      <c r="A228" s="1">
        <f>IF(B228&gt;0,SUM(MAX($A$6:A227),1),0)</f>
        <v>0</v>
      </c>
      <c r="B228" s="236"/>
      <c r="C228" s="237"/>
      <c r="D228" s="238"/>
      <c r="E228" s="239"/>
      <c r="F228" s="151">
        <v>3</v>
      </c>
      <c r="G228" s="151">
        <v>1950</v>
      </c>
      <c r="H228" s="240"/>
      <c r="I228" s="235"/>
      <c r="J228" s="235"/>
      <c r="K228" s="235"/>
      <c r="L228" s="55"/>
      <c r="M228" s="56"/>
      <c r="N228" s="56"/>
      <c r="O228" s="56"/>
      <c r="P228" s="56"/>
      <c r="Q228" s="55"/>
      <c r="R228" s="56"/>
      <c r="S228" s="56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  <c r="EN228" s="57"/>
      <c r="EO228" s="57"/>
      <c r="EP228" s="57"/>
      <c r="EQ228" s="57"/>
      <c r="ER228" s="57"/>
      <c r="ES228" s="57"/>
      <c r="ET228" s="57"/>
      <c r="EU228" s="57"/>
      <c r="EV228" s="57"/>
      <c r="EW228" s="57"/>
      <c r="EX228" s="57"/>
      <c r="EY228" s="57"/>
      <c r="EZ228" s="57"/>
      <c r="FA228" s="57"/>
      <c r="FB228" s="57"/>
      <c r="FC228" s="57"/>
      <c r="FD228" s="57"/>
      <c r="FE228" s="57"/>
      <c r="FF228" s="57"/>
      <c r="FG228" s="57"/>
      <c r="FH228" s="57"/>
      <c r="FI228" s="57"/>
      <c r="FJ228" s="57"/>
      <c r="FK228" s="57"/>
      <c r="FL228" s="57"/>
      <c r="FM228" s="57"/>
      <c r="FN228" s="57"/>
      <c r="FO228" s="57"/>
      <c r="FP228" s="57"/>
      <c r="FQ228" s="57"/>
      <c r="FR228" s="57"/>
      <c r="FS228" s="57"/>
      <c r="FT228" s="57"/>
      <c r="FU228" s="57"/>
      <c r="FV228" s="57"/>
      <c r="FW228" s="57"/>
      <c r="FX228" s="57"/>
      <c r="FY228" s="57"/>
      <c r="FZ228" s="57"/>
      <c r="GA228" s="57"/>
      <c r="GB228" s="57"/>
      <c r="GC228" s="57"/>
      <c r="GD228" s="57"/>
      <c r="GE228" s="57"/>
      <c r="GF228" s="57"/>
      <c r="GG228" s="57"/>
      <c r="GH228" s="57"/>
      <c r="GI228" s="57"/>
      <c r="GJ228" s="57"/>
      <c r="GK228" s="57"/>
      <c r="GL228" s="57"/>
      <c r="GM228" s="57"/>
      <c r="GN228" s="57"/>
      <c r="GO228" s="57"/>
      <c r="GP228" s="57"/>
      <c r="GQ228" s="57"/>
      <c r="GR228" s="57"/>
      <c r="GS228" s="57"/>
      <c r="GT228" s="57"/>
      <c r="GU228" s="57"/>
      <c r="GV228" s="57"/>
      <c r="GW228" s="57"/>
      <c r="GX228" s="57"/>
    </row>
    <row r="229" spans="1:206" s="86" customFormat="1" x14ac:dyDescent="0.25">
      <c r="A229" s="1" t="e">
        <f ca="1">IF(B229&gt;0,SUM(MAX($A$6:A228),1),0)</f>
        <v>#REF!</v>
      </c>
      <c r="B229" s="149">
        <v>2</v>
      </c>
      <c r="C229" s="150" t="s">
        <v>464</v>
      </c>
      <c r="D229" s="149" t="s">
        <v>462</v>
      </c>
      <c r="E229" s="126" t="s">
        <v>459</v>
      </c>
      <c r="F229" s="151">
        <v>3</v>
      </c>
      <c r="G229" s="151">
        <v>1950</v>
      </c>
      <c r="H229" s="124" t="str">
        <f t="shared" si="19"/>
        <v>vừa</v>
      </c>
      <c r="I229" s="124"/>
      <c r="J229" s="123">
        <v>195</v>
      </c>
      <c r="K229" s="123" t="s">
        <v>465</v>
      </c>
      <c r="L229" s="55"/>
      <c r="M229" s="56"/>
      <c r="N229" s="56"/>
      <c r="O229" s="56"/>
      <c r="P229" s="56"/>
      <c r="Q229" s="55">
        <f t="shared" ref="Q229:Q235" si="20">F229*G229</f>
        <v>5850</v>
      </c>
      <c r="R229" s="56"/>
      <c r="S229" s="56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  <c r="EN229" s="57"/>
      <c r="EO229" s="57"/>
      <c r="EP229" s="57"/>
      <c r="EQ229" s="57"/>
      <c r="ER229" s="57"/>
      <c r="ES229" s="57"/>
      <c r="ET229" s="57"/>
      <c r="EU229" s="57"/>
      <c r="EV229" s="57"/>
      <c r="EW229" s="57"/>
      <c r="EX229" s="57"/>
      <c r="EY229" s="57"/>
      <c r="EZ229" s="57"/>
      <c r="FA229" s="57"/>
      <c r="FB229" s="57"/>
      <c r="FC229" s="57"/>
      <c r="FD229" s="57"/>
      <c r="FE229" s="57"/>
      <c r="FF229" s="57"/>
      <c r="FG229" s="57"/>
      <c r="FH229" s="57"/>
      <c r="FI229" s="57"/>
      <c r="FJ229" s="57"/>
      <c r="FK229" s="57"/>
      <c r="FL229" s="57"/>
      <c r="FM229" s="57"/>
      <c r="FN229" s="57"/>
      <c r="FO229" s="57"/>
      <c r="FP229" s="57"/>
      <c r="FQ229" s="57"/>
      <c r="FR229" s="57"/>
      <c r="FS229" s="57"/>
      <c r="FT229" s="57"/>
      <c r="FU229" s="57"/>
      <c r="FV229" s="57"/>
      <c r="FW229" s="57"/>
      <c r="FX229" s="57"/>
      <c r="FY229" s="57"/>
      <c r="FZ229" s="57"/>
      <c r="GA229" s="57"/>
      <c r="GB229" s="57"/>
      <c r="GC229" s="57"/>
      <c r="GD229" s="57"/>
      <c r="GE229" s="57"/>
      <c r="GF229" s="57"/>
      <c r="GG229" s="57"/>
      <c r="GH229" s="57"/>
      <c r="GI229" s="57"/>
      <c r="GJ229" s="57"/>
      <c r="GK229" s="57"/>
      <c r="GL229" s="57"/>
      <c r="GM229" s="57"/>
      <c r="GN229" s="57"/>
      <c r="GO229" s="57"/>
      <c r="GP229" s="57"/>
      <c r="GQ229" s="57"/>
      <c r="GR229" s="57"/>
      <c r="GS229" s="57"/>
      <c r="GT229" s="57"/>
      <c r="GU229" s="57"/>
      <c r="GV229" s="57"/>
      <c r="GW229" s="57"/>
      <c r="GX229" s="57"/>
    </row>
    <row r="230" spans="1:206" s="86" customFormat="1" x14ac:dyDescent="0.25">
      <c r="A230" s="1" t="e">
        <f ca="1">IF(B230&gt;0,SUM(MAX($A$6:A226),1),0)</f>
        <v>#REF!</v>
      </c>
      <c r="B230" s="149">
        <v>3</v>
      </c>
      <c r="C230" s="150" t="s">
        <v>458</v>
      </c>
      <c r="D230" s="149" t="s">
        <v>458</v>
      </c>
      <c r="E230" s="126" t="s">
        <v>459</v>
      </c>
      <c r="F230" s="151">
        <v>3</v>
      </c>
      <c r="G230" s="123">
        <v>2500</v>
      </c>
      <c r="H230" s="124" t="str">
        <f>IF(AND(Q230&lt;3600,Q230&gt;0),"nhỏ",IF(AND(Q230&gt;=3600,Q230&lt;72000),"vừa",IF(Q230&lt;&gt;0,"lớn",0)))</f>
        <v>vừa</v>
      </c>
      <c r="I230" s="124"/>
      <c r="J230" s="124"/>
      <c r="K230" s="125" t="s">
        <v>460</v>
      </c>
      <c r="L230" s="55"/>
      <c r="M230" s="56"/>
      <c r="N230" s="56"/>
      <c r="O230" s="56"/>
      <c r="P230" s="56"/>
      <c r="Q230" s="55">
        <f t="shared" si="20"/>
        <v>7500</v>
      </c>
      <c r="R230" s="56"/>
      <c r="S230" s="56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  <c r="EN230" s="57"/>
      <c r="EO230" s="57"/>
      <c r="EP230" s="57"/>
      <c r="EQ230" s="57"/>
      <c r="ER230" s="57"/>
      <c r="ES230" s="57"/>
      <c r="ET230" s="57"/>
      <c r="EU230" s="57"/>
      <c r="EV230" s="57"/>
      <c r="EW230" s="57"/>
      <c r="EX230" s="57"/>
      <c r="EY230" s="57"/>
      <c r="EZ230" s="57"/>
      <c r="FA230" s="57"/>
      <c r="FB230" s="57"/>
      <c r="FC230" s="57"/>
      <c r="FD230" s="57"/>
      <c r="FE230" s="57"/>
      <c r="FF230" s="57"/>
      <c r="FG230" s="57"/>
      <c r="FH230" s="57"/>
      <c r="FI230" s="57"/>
      <c r="FJ230" s="57"/>
      <c r="FK230" s="57"/>
      <c r="FL230" s="57"/>
      <c r="FM230" s="57"/>
      <c r="FN230" s="57"/>
      <c r="FO230" s="57"/>
      <c r="FP230" s="57"/>
      <c r="FQ230" s="57"/>
      <c r="FR230" s="57"/>
      <c r="FS230" s="57"/>
      <c r="FT230" s="57"/>
      <c r="FU230" s="57"/>
      <c r="FV230" s="57"/>
      <c r="FW230" s="57"/>
      <c r="FX230" s="57"/>
      <c r="FY230" s="57"/>
      <c r="FZ230" s="57"/>
      <c r="GA230" s="57"/>
      <c r="GB230" s="57"/>
      <c r="GC230" s="57"/>
      <c r="GD230" s="57"/>
      <c r="GE230" s="57"/>
      <c r="GF230" s="57"/>
      <c r="GG230" s="57"/>
      <c r="GH230" s="57"/>
      <c r="GI230" s="57"/>
      <c r="GJ230" s="57"/>
      <c r="GK230" s="57"/>
      <c r="GL230" s="57"/>
      <c r="GM230" s="57"/>
      <c r="GN230" s="57"/>
      <c r="GO230" s="57"/>
      <c r="GP230" s="57"/>
      <c r="GQ230" s="57"/>
      <c r="GR230" s="57"/>
      <c r="GS230" s="57"/>
      <c r="GT230" s="57"/>
      <c r="GU230" s="57"/>
      <c r="GV230" s="57"/>
      <c r="GW230" s="57"/>
      <c r="GX230" s="57"/>
    </row>
    <row r="231" spans="1:206" s="97" customFormat="1" x14ac:dyDescent="0.25">
      <c r="A231" s="1" t="e">
        <f ca="1">IF(B231&gt;0,SUM(MAX($A$6:A230),1),0)</f>
        <v>#REF!</v>
      </c>
      <c r="B231" s="149">
        <v>4</v>
      </c>
      <c r="C231" s="121" t="s">
        <v>477</v>
      </c>
      <c r="D231" s="126" t="s">
        <v>478</v>
      </c>
      <c r="E231" s="126" t="s">
        <v>26</v>
      </c>
      <c r="F231" s="126">
        <v>6</v>
      </c>
      <c r="G231" s="135">
        <v>1950</v>
      </c>
      <c r="H231" s="124" t="str">
        <f t="shared" ref="H231:H234" si="21">IF(AND(Q231&lt;3600,Q231&gt;0),"nhỏ",IF(AND(Q231&gt;=3600,Q231&lt;72000),"vừa",IF(Q231&lt;&gt;0,"lớn",0)))</f>
        <v>vừa</v>
      </c>
      <c r="I231" s="124"/>
      <c r="J231" s="123">
        <v>460</v>
      </c>
      <c r="K231" s="123" t="s">
        <v>479</v>
      </c>
      <c r="L231" s="95"/>
      <c r="M231" s="96"/>
      <c r="N231" s="96"/>
      <c r="O231" s="96"/>
      <c r="P231" s="96"/>
      <c r="Q231" s="95">
        <f t="shared" si="20"/>
        <v>11700</v>
      </c>
      <c r="R231" s="96"/>
      <c r="S231" s="96"/>
      <c r="U231" s="104"/>
    </row>
    <row r="232" spans="1:206" s="97" customFormat="1" x14ac:dyDescent="0.25">
      <c r="A232" s="1" t="e">
        <f ca="1">IF(B232&gt;0,SUM(MAX($A$6:A231),1),0)</f>
        <v>#REF!</v>
      </c>
      <c r="B232" s="149">
        <v>5</v>
      </c>
      <c r="C232" s="121" t="s">
        <v>480</v>
      </c>
      <c r="D232" s="126" t="s">
        <v>478</v>
      </c>
      <c r="E232" s="126" t="s">
        <v>26</v>
      </c>
      <c r="F232" s="126">
        <v>4</v>
      </c>
      <c r="G232" s="135">
        <v>2400</v>
      </c>
      <c r="H232" s="124" t="str">
        <f t="shared" si="21"/>
        <v>vừa</v>
      </c>
      <c r="I232" s="124"/>
      <c r="J232" s="123">
        <v>217</v>
      </c>
      <c r="K232" s="123" t="s">
        <v>481</v>
      </c>
      <c r="L232" s="95"/>
      <c r="M232" s="96"/>
      <c r="N232" s="96"/>
      <c r="O232" s="96"/>
      <c r="P232" s="96"/>
      <c r="Q232" s="95">
        <f t="shared" si="20"/>
        <v>9600</v>
      </c>
      <c r="R232" s="96"/>
      <c r="S232" s="96"/>
      <c r="U232" s="104"/>
    </row>
    <row r="233" spans="1:206" s="97" customFormat="1" x14ac:dyDescent="0.25">
      <c r="A233" s="1" t="e">
        <f ca="1">IF(B233&gt;0,SUM(MAX($A$6:A235),1),0)</f>
        <v>#REF!</v>
      </c>
      <c r="B233" s="149">
        <v>6</v>
      </c>
      <c r="C233" s="121" t="s">
        <v>486</v>
      </c>
      <c r="D233" s="126" t="s">
        <v>483</v>
      </c>
      <c r="E233" s="126" t="s">
        <v>484</v>
      </c>
      <c r="F233" s="126">
        <v>3</v>
      </c>
      <c r="G233" s="135">
        <v>980</v>
      </c>
      <c r="H233" s="124" t="str">
        <f t="shared" si="21"/>
        <v>nhỏ</v>
      </c>
      <c r="I233" s="124"/>
      <c r="J233" s="123">
        <v>50</v>
      </c>
      <c r="K233" s="123" t="s">
        <v>487</v>
      </c>
      <c r="L233" s="95"/>
      <c r="M233" s="96"/>
      <c r="N233" s="96"/>
      <c r="O233" s="96"/>
      <c r="P233" s="96"/>
      <c r="Q233" s="95">
        <f t="shared" si="20"/>
        <v>2940</v>
      </c>
      <c r="R233" s="96"/>
      <c r="S233" s="96"/>
    </row>
    <row r="234" spans="1:206" s="94" customFormat="1" x14ac:dyDescent="0.25">
      <c r="A234" s="1" t="e">
        <f ca="1">IF(B234&gt;0,SUM(MAX($A$6:A233),1),0)</f>
        <v>#REF!</v>
      </c>
      <c r="B234" s="149">
        <v>7</v>
      </c>
      <c r="C234" s="121" t="s">
        <v>488</v>
      </c>
      <c r="D234" s="126" t="s">
        <v>483</v>
      </c>
      <c r="E234" s="126" t="s">
        <v>484</v>
      </c>
      <c r="F234" s="126">
        <v>3</v>
      </c>
      <c r="G234" s="135">
        <v>1950</v>
      </c>
      <c r="H234" s="124" t="str">
        <f t="shared" si="21"/>
        <v>vừa</v>
      </c>
      <c r="I234" s="124"/>
      <c r="J234" s="123">
        <v>235</v>
      </c>
      <c r="K234" s="123" t="s">
        <v>489</v>
      </c>
      <c r="L234" s="91"/>
      <c r="M234" s="92"/>
      <c r="N234" s="92"/>
      <c r="O234" s="92"/>
      <c r="P234" s="92"/>
      <c r="Q234" s="95">
        <f t="shared" si="20"/>
        <v>5850</v>
      </c>
      <c r="R234" s="92"/>
      <c r="S234" s="92"/>
    </row>
    <row r="235" spans="1:206" s="97" customFormat="1" x14ac:dyDescent="0.25">
      <c r="A235" s="1" t="e">
        <f ca="1">IF(B235&gt;0,SUM(MAX($A$6:A232),1),0)</f>
        <v>#REF!</v>
      </c>
      <c r="B235" s="149">
        <v>8</v>
      </c>
      <c r="C235" s="121" t="s">
        <v>482</v>
      </c>
      <c r="D235" s="126" t="s">
        <v>483</v>
      </c>
      <c r="E235" s="126" t="s">
        <v>484</v>
      </c>
      <c r="F235" s="126">
        <v>6</v>
      </c>
      <c r="G235" s="135">
        <v>2400</v>
      </c>
      <c r="H235" s="124" t="str">
        <f>IF(AND(Q235&lt;3600,Q235&gt;0),"nhỏ",IF(AND(Q235&gt;=3600,Q235&lt;72000),"vừa",IF(Q235&lt;&gt;0,"lớn",0)))</f>
        <v>vừa</v>
      </c>
      <c r="I235" s="124"/>
      <c r="J235" s="123">
        <v>425</v>
      </c>
      <c r="K235" s="123" t="s">
        <v>485</v>
      </c>
      <c r="L235" s="95"/>
      <c r="M235" s="96"/>
      <c r="N235" s="96"/>
      <c r="O235" s="96"/>
      <c r="P235" s="96"/>
      <c r="Q235" s="95">
        <f t="shared" si="20"/>
        <v>14400</v>
      </c>
      <c r="R235" s="96"/>
      <c r="S235" s="96"/>
    </row>
    <row r="236" spans="1:206" s="93" customFormat="1" x14ac:dyDescent="0.25">
      <c r="A236" s="1"/>
      <c r="B236" s="134" t="s">
        <v>490</v>
      </c>
      <c r="C236" s="130" t="s">
        <v>532</v>
      </c>
      <c r="D236" s="134" t="str">
        <f>CONCATENATE(COUNT(B236:B237)," trạm")</f>
        <v>1 trạm</v>
      </c>
      <c r="E236" s="134"/>
      <c r="F236" s="148">
        <f>+SUM(F237)</f>
        <v>10</v>
      </c>
      <c r="G236" s="125"/>
      <c r="H236" s="152"/>
      <c r="I236" s="152"/>
      <c r="J236" s="152"/>
      <c r="K236" s="153"/>
      <c r="L236" s="91">
        <f>L237</f>
        <v>1</v>
      </c>
      <c r="M236" s="92"/>
      <c r="N236" s="92"/>
      <c r="O236" s="92"/>
      <c r="P236" s="92"/>
      <c r="Q236" s="91">
        <f>Q237</f>
        <v>432000</v>
      </c>
      <c r="R236" s="92"/>
      <c r="S236" s="92"/>
    </row>
    <row r="237" spans="1:206" s="97" customFormat="1" x14ac:dyDescent="0.25">
      <c r="A237" s="1" t="e">
        <f ca="1">IF(B237&gt;0,SUM(MAX($A$6:A236),1),0)</f>
        <v>#REF!</v>
      </c>
      <c r="B237" s="154">
        <v>1</v>
      </c>
      <c r="C237" s="155" t="s">
        <v>492</v>
      </c>
      <c r="D237" s="156"/>
      <c r="E237" s="156" t="s">
        <v>344</v>
      </c>
      <c r="F237" s="156">
        <v>10</v>
      </c>
      <c r="G237" s="157">
        <v>43200</v>
      </c>
      <c r="H237" s="158" t="str">
        <f>IF(AND(Q237&lt;3600,Q237&gt;0),"nhỏ",IF(AND(Q237&gt;=3600,Q237&lt;72000),"vừa",IF(Q237&lt;&gt;0,"lớn",0)))</f>
        <v>lớn</v>
      </c>
      <c r="I237" s="158"/>
      <c r="J237" s="157">
        <v>6300</v>
      </c>
      <c r="K237" s="157" t="s">
        <v>493</v>
      </c>
      <c r="L237" s="25">
        <f>COUNTIF(H237,"lớn")</f>
        <v>1</v>
      </c>
      <c r="M237" s="25">
        <f>COUNTIF(H238:H242,"vừa")</f>
        <v>0</v>
      </c>
      <c r="N237" s="25">
        <f>COUNTIF(H238:H242,"nhỏ")</f>
        <v>0</v>
      </c>
      <c r="O237" s="96"/>
      <c r="P237" s="96"/>
      <c r="Q237" s="95">
        <f>F237*G237</f>
        <v>432000</v>
      </c>
      <c r="R237" s="96"/>
      <c r="S237" s="96"/>
    </row>
    <row r="238" spans="1:206" s="2" customFormat="1" x14ac:dyDescent="0.25">
      <c r="A238" s="18"/>
      <c r="B238" s="22"/>
      <c r="C238" s="20" t="str">
        <f>"Tổng "&amp;COUNT(B6:B237)&amp;" trạm"</f>
        <v>Tổng 153 trạm</v>
      </c>
      <c r="D238" s="22"/>
      <c r="E238" s="22"/>
      <c r="F238" s="99">
        <f>+F236+F226+F181+F57+F18+F6</f>
        <v>830</v>
      </c>
      <c r="G238" s="100"/>
      <c r="H238" s="21"/>
      <c r="I238" s="21"/>
      <c r="J238" s="21"/>
      <c r="K238" s="22"/>
      <c r="L238" s="23"/>
      <c r="M238" s="24"/>
      <c r="N238" s="24"/>
      <c r="O238" s="24"/>
      <c r="P238" s="24"/>
      <c r="Q238" s="23"/>
      <c r="R238" s="24"/>
      <c r="S238" s="24"/>
    </row>
    <row r="65427" spans="17:17" x14ac:dyDescent="0.25">
      <c r="Q65427" s="101">
        <f>F65427*G65427</f>
        <v>0</v>
      </c>
    </row>
  </sheetData>
  <mergeCells count="431">
    <mergeCell ref="B1:K1"/>
    <mergeCell ref="B2:K2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B30:B31"/>
    <mergeCell ref="C30:C31"/>
    <mergeCell ref="D30:D32"/>
    <mergeCell ref="E30:E32"/>
    <mergeCell ref="H30:H32"/>
    <mergeCell ref="I30:I31"/>
    <mergeCell ref="J30:J31"/>
    <mergeCell ref="J11:J12"/>
    <mergeCell ref="K11:K12"/>
    <mergeCell ref="H21:H22"/>
    <mergeCell ref="E24:E25"/>
    <mergeCell ref="H24:H25"/>
    <mergeCell ref="B28:B29"/>
    <mergeCell ref="C28:C29"/>
    <mergeCell ref="D28:D29"/>
    <mergeCell ref="E28:E29"/>
    <mergeCell ref="H28:H29"/>
    <mergeCell ref="B11:B12"/>
    <mergeCell ref="C11:C12"/>
    <mergeCell ref="D11:D13"/>
    <mergeCell ref="E11:E12"/>
    <mergeCell ref="H11:H13"/>
    <mergeCell ref="I11:I12"/>
    <mergeCell ref="K30:K32"/>
    <mergeCell ref="D33:D34"/>
    <mergeCell ref="E33:E34"/>
    <mergeCell ref="H33:H34"/>
    <mergeCell ref="I33:I34"/>
    <mergeCell ref="J33:J34"/>
    <mergeCell ref="K33:K34"/>
    <mergeCell ref="I28:I29"/>
    <mergeCell ref="J28:J29"/>
    <mergeCell ref="K28:K29"/>
    <mergeCell ref="D35:D36"/>
    <mergeCell ref="E35:E36"/>
    <mergeCell ref="H35:H36"/>
    <mergeCell ref="K35:K36"/>
    <mergeCell ref="B37:B38"/>
    <mergeCell ref="C37:C38"/>
    <mergeCell ref="D37:D38"/>
    <mergeCell ref="E37:E38"/>
    <mergeCell ref="I37:I38"/>
    <mergeCell ref="J37:J38"/>
    <mergeCell ref="K37:K38"/>
    <mergeCell ref="B39:B40"/>
    <mergeCell ref="C39:C40"/>
    <mergeCell ref="D39:D40"/>
    <mergeCell ref="E39:E40"/>
    <mergeCell ref="H39:H40"/>
    <mergeCell ref="I39:I40"/>
    <mergeCell ref="J39:J40"/>
    <mergeCell ref="K39:K40"/>
    <mergeCell ref="J41:J42"/>
    <mergeCell ref="K41:K42"/>
    <mergeCell ref="B43:B44"/>
    <mergeCell ref="C43:C44"/>
    <mergeCell ref="D43:D45"/>
    <mergeCell ref="E43:E45"/>
    <mergeCell ref="H43:H45"/>
    <mergeCell ref="I43:I45"/>
    <mergeCell ref="J43:J45"/>
    <mergeCell ref="K43:K45"/>
    <mergeCell ref="B41:B42"/>
    <mergeCell ref="C41:C42"/>
    <mergeCell ref="D41:D42"/>
    <mergeCell ref="E41:E42"/>
    <mergeCell ref="H41:H42"/>
    <mergeCell ref="I41:I42"/>
    <mergeCell ref="J46:J48"/>
    <mergeCell ref="K46:K48"/>
    <mergeCell ref="B49:B50"/>
    <mergeCell ref="C49:C50"/>
    <mergeCell ref="D49:D50"/>
    <mergeCell ref="E49:E50"/>
    <mergeCell ref="H49:H50"/>
    <mergeCell ref="I49:I50"/>
    <mergeCell ref="J49:J50"/>
    <mergeCell ref="K49:K50"/>
    <mergeCell ref="B46:B47"/>
    <mergeCell ref="C46:C47"/>
    <mergeCell ref="D46:D48"/>
    <mergeCell ref="E46:E48"/>
    <mergeCell ref="H46:H48"/>
    <mergeCell ref="I46:I48"/>
    <mergeCell ref="J51:J52"/>
    <mergeCell ref="K51:K52"/>
    <mergeCell ref="B53:B55"/>
    <mergeCell ref="C53:C55"/>
    <mergeCell ref="D53:D55"/>
    <mergeCell ref="E53:E55"/>
    <mergeCell ref="H53:H55"/>
    <mergeCell ref="I53:I55"/>
    <mergeCell ref="J53:J55"/>
    <mergeCell ref="K53:K55"/>
    <mergeCell ref="B51:B52"/>
    <mergeCell ref="C51:C52"/>
    <mergeCell ref="D51:D52"/>
    <mergeCell ref="E51:E52"/>
    <mergeCell ref="H51:H52"/>
    <mergeCell ref="I51:I52"/>
    <mergeCell ref="I60:I61"/>
    <mergeCell ref="J60:J61"/>
    <mergeCell ref="K60:K61"/>
    <mergeCell ref="B65:B66"/>
    <mergeCell ref="C65:C66"/>
    <mergeCell ref="D65:D66"/>
    <mergeCell ref="E65:E66"/>
    <mergeCell ref="H65:H66"/>
    <mergeCell ref="I65:I66"/>
    <mergeCell ref="J65:J66"/>
    <mergeCell ref="B60:B61"/>
    <mergeCell ref="C60:C61"/>
    <mergeCell ref="D60:D61"/>
    <mergeCell ref="E60:E61"/>
    <mergeCell ref="H60:H61"/>
    <mergeCell ref="K65:K66"/>
    <mergeCell ref="B67:B68"/>
    <mergeCell ref="C67:C68"/>
    <mergeCell ref="D67:D68"/>
    <mergeCell ref="E67:E68"/>
    <mergeCell ref="H67:H68"/>
    <mergeCell ref="I67:I68"/>
    <mergeCell ref="J67:J68"/>
    <mergeCell ref="K67:K68"/>
    <mergeCell ref="B70:B71"/>
    <mergeCell ref="C70:C71"/>
    <mergeCell ref="D70:D71"/>
    <mergeCell ref="E70:E71"/>
    <mergeCell ref="H70:H71"/>
    <mergeCell ref="B72:B73"/>
    <mergeCell ref="C72:C73"/>
    <mergeCell ref="D72:D73"/>
    <mergeCell ref="E72:E73"/>
    <mergeCell ref="H72:H73"/>
    <mergeCell ref="I72:I73"/>
    <mergeCell ref="J72:J73"/>
    <mergeCell ref="K72:K73"/>
    <mergeCell ref="B74:B75"/>
    <mergeCell ref="C74:C75"/>
    <mergeCell ref="D74:D76"/>
    <mergeCell ref="E74:E76"/>
    <mergeCell ref="H74:H76"/>
    <mergeCell ref="I74:I75"/>
    <mergeCell ref="J74:J75"/>
    <mergeCell ref="B82:B83"/>
    <mergeCell ref="D82:D83"/>
    <mergeCell ref="E82:E83"/>
    <mergeCell ref="H82:H83"/>
    <mergeCell ref="B85:B86"/>
    <mergeCell ref="D85:D86"/>
    <mergeCell ref="E85:E86"/>
    <mergeCell ref="H85:H86"/>
    <mergeCell ref="K74:K76"/>
    <mergeCell ref="B77:B78"/>
    <mergeCell ref="C77:C78"/>
    <mergeCell ref="D77:D79"/>
    <mergeCell ref="E77:E79"/>
    <mergeCell ref="H77:H79"/>
    <mergeCell ref="I77:I78"/>
    <mergeCell ref="J77:J78"/>
    <mergeCell ref="K77:K79"/>
    <mergeCell ref="J87:J89"/>
    <mergeCell ref="K87:K89"/>
    <mergeCell ref="B90:B91"/>
    <mergeCell ref="D90:D91"/>
    <mergeCell ref="E90:E91"/>
    <mergeCell ref="H90:H91"/>
    <mergeCell ref="K90:K91"/>
    <mergeCell ref="B87:B89"/>
    <mergeCell ref="C87:C88"/>
    <mergeCell ref="D87:D89"/>
    <mergeCell ref="E87:E89"/>
    <mergeCell ref="H87:H89"/>
    <mergeCell ref="I87:I89"/>
    <mergeCell ref="J92:J93"/>
    <mergeCell ref="K92:K93"/>
    <mergeCell ref="B96:B97"/>
    <mergeCell ref="D96:D97"/>
    <mergeCell ref="E96:E97"/>
    <mergeCell ref="H96:H97"/>
    <mergeCell ref="I96:I97"/>
    <mergeCell ref="J96:J97"/>
    <mergeCell ref="K96:K97"/>
    <mergeCell ref="B92:B93"/>
    <mergeCell ref="C92:C93"/>
    <mergeCell ref="D92:D93"/>
    <mergeCell ref="E92:E93"/>
    <mergeCell ref="H92:H93"/>
    <mergeCell ref="I92:I93"/>
    <mergeCell ref="B99:B100"/>
    <mergeCell ref="D99:D100"/>
    <mergeCell ref="E99:E100"/>
    <mergeCell ref="H99:H100"/>
    <mergeCell ref="K99:K100"/>
    <mergeCell ref="B101:B102"/>
    <mergeCell ref="C101:C102"/>
    <mergeCell ref="D101:D102"/>
    <mergeCell ref="E101:E102"/>
    <mergeCell ref="H101:H102"/>
    <mergeCell ref="K105:K106"/>
    <mergeCell ref="B111:B112"/>
    <mergeCell ref="D111:D112"/>
    <mergeCell ref="E111:E112"/>
    <mergeCell ref="H111:H112"/>
    <mergeCell ref="K111:K112"/>
    <mergeCell ref="I101:I102"/>
    <mergeCell ref="J101:J102"/>
    <mergeCell ref="K101:K102"/>
    <mergeCell ref="B105:B106"/>
    <mergeCell ref="C105:C106"/>
    <mergeCell ref="D105:D106"/>
    <mergeCell ref="E105:E106"/>
    <mergeCell ref="H105:H106"/>
    <mergeCell ref="I105:I106"/>
    <mergeCell ref="J105:J106"/>
    <mergeCell ref="K114:K115"/>
    <mergeCell ref="B116:B118"/>
    <mergeCell ref="C116:C117"/>
    <mergeCell ref="D116:D118"/>
    <mergeCell ref="E116:E118"/>
    <mergeCell ref="H116:H118"/>
    <mergeCell ref="I116:I117"/>
    <mergeCell ref="J116:J117"/>
    <mergeCell ref="K116:K118"/>
    <mergeCell ref="B114:B115"/>
    <mergeCell ref="C114:C115"/>
    <mergeCell ref="D114:D115"/>
    <mergeCell ref="E114:E115"/>
    <mergeCell ref="I114:I115"/>
    <mergeCell ref="J114:J115"/>
    <mergeCell ref="J121:J122"/>
    <mergeCell ref="K121:K122"/>
    <mergeCell ref="B127:B128"/>
    <mergeCell ref="D127:D128"/>
    <mergeCell ref="E127:E128"/>
    <mergeCell ref="H127:H128"/>
    <mergeCell ref="B121:B122"/>
    <mergeCell ref="C121:C122"/>
    <mergeCell ref="D121:D122"/>
    <mergeCell ref="E121:E122"/>
    <mergeCell ref="H121:H122"/>
    <mergeCell ref="I121:I122"/>
    <mergeCell ref="J129:J130"/>
    <mergeCell ref="K129:K130"/>
    <mergeCell ref="B133:B134"/>
    <mergeCell ref="C133:C134"/>
    <mergeCell ref="D133:D134"/>
    <mergeCell ref="E133:E134"/>
    <mergeCell ref="H133:H134"/>
    <mergeCell ref="I133:I134"/>
    <mergeCell ref="J133:J134"/>
    <mergeCell ref="B129:B130"/>
    <mergeCell ref="C129:C130"/>
    <mergeCell ref="D129:D130"/>
    <mergeCell ref="E129:E130"/>
    <mergeCell ref="H129:H130"/>
    <mergeCell ref="I129:I130"/>
    <mergeCell ref="B138:B139"/>
    <mergeCell ref="D138:D139"/>
    <mergeCell ref="E138:E139"/>
    <mergeCell ref="H138:H139"/>
    <mergeCell ref="B141:B142"/>
    <mergeCell ref="C141:C142"/>
    <mergeCell ref="D141:D142"/>
    <mergeCell ref="E141:E142"/>
    <mergeCell ref="H141:H142"/>
    <mergeCell ref="I141:I142"/>
    <mergeCell ref="J141:J142"/>
    <mergeCell ref="K141:K142"/>
    <mergeCell ref="B143:B144"/>
    <mergeCell ref="C143:C144"/>
    <mergeCell ref="D143:D144"/>
    <mergeCell ref="E143:E144"/>
    <mergeCell ref="H143:H144"/>
    <mergeCell ref="I143:I144"/>
    <mergeCell ref="J143:J144"/>
    <mergeCell ref="K143:K144"/>
    <mergeCell ref="B145:B146"/>
    <mergeCell ref="C145:C146"/>
    <mergeCell ref="D145:D146"/>
    <mergeCell ref="E145:E146"/>
    <mergeCell ref="H145:H146"/>
    <mergeCell ref="I145:I146"/>
    <mergeCell ref="J145:J146"/>
    <mergeCell ref="K145:K146"/>
    <mergeCell ref="K147:K148"/>
    <mergeCell ref="B151:B152"/>
    <mergeCell ref="C151:C152"/>
    <mergeCell ref="D151:D152"/>
    <mergeCell ref="E151:E152"/>
    <mergeCell ref="H151:H152"/>
    <mergeCell ref="I151:I152"/>
    <mergeCell ref="J151:J152"/>
    <mergeCell ref="B147:B148"/>
    <mergeCell ref="C147:C148"/>
    <mergeCell ref="D147:D148"/>
    <mergeCell ref="E147:E148"/>
    <mergeCell ref="I147:I148"/>
    <mergeCell ref="J147:J148"/>
    <mergeCell ref="J153:J154"/>
    <mergeCell ref="K153:K154"/>
    <mergeCell ref="B155:B156"/>
    <mergeCell ref="C155:C156"/>
    <mergeCell ref="D155:D156"/>
    <mergeCell ref="E155:E156"/>
    <mergeCell ref="H155:H156"/>
    <mergeCell ref="I155:I156"/>
    <mergeCell ref="J155:J156"/>
    <mergeCell ref="K155:K156"/>
    <mergeCell ref="B153:B154"/>
    <mergeCell ref="C153:C154"/>
    <mergeCell ref="D153:D154"/>
    <mergeCell ref="E153:E154"/>
    <mergeCell ref="H153:H154"/>
    <mergeCell ref="I153:I154"/>
    <mergeCell ref="J163:J164"/>
    <mergeCell ref="B167:B168"/>
    <mergeCell ref="C167:C168"/>
    <mergeCell ref="D167:D168"/>
    <mergeCell ref="E167:E168"/>
    <mergeCell ref="H167:H168"/>
    <mergeCell ref="I167:I168"/>
    <mergeCell ref="J167:J168"/>
    <mergeCell ref="B163:B164"/>
    <mergeCell ref="C163:C164"/>
    <mergeCell ref="D163:D164"/>
    <mergeCell ref="E163:E164"/>
    <mergeCell ref="H163:H164"/>
    <mergeCell ref="I163:I164"/>
    <mergeCell ref="J169:J170"/>
    <mergeCell ref="B171:B172"/>
    <mergeCell ref="C171:C172"/>
    <mergeCell ref="D171:D172"/>
    <mergeCell ref="E171:E172"/>
    <mergeCell ref="H171:H172"/>
    <mergeCell ref="I171:I172"/>
    <mergeCell ref="J171:J172"/>
    <mergeCell ref="B169:B170"/>
    <mergeCell ref="C169:C170"/>
    <mergeCell ref="D169:D170"/>
    <mergeCell ref="E169:E170"/>
    <mergeCell ref="H169:H170"/>
    <mergeCell ref="I169:I170"/>
    <mergeCell ref="J175:J176"/>
    <mergeCell ref="B178:B179"/>
    <mergeCell ref="C178:C179"/>
    <mergeCell ref="D178:D179"/>
    <mergeCell ref="E178:E179"/>
    <mergeCell ref="H178:H179"/>
    <mergeCell ref="I178:I179"/>
    <mergeCell ref="J178:J179"/>
    <mergeCell ref="B175:B176"/>
    <mergeCell ref="C175:C176"/>
    <mergeCell ref="D175:D176"/>
    <mergeCell ref="E175:E176"/>
    <mergeCell ref="H175:H176"/>
    <mergeCell ref="I175:I176"/>
    <mergeCell ref="B182:B184"/>
    <mergeCell ref="D182:D184"/>
    <mergeCell ref="E182:E184"/>
    <mergeCell ref="H182:H184"/>
    <mergeCell ref="J182:J184"/>
    <mergeCell ref="B186:B187"/>
    <mergeCell ref="D186:D187"/>
    <mergeCell ref="E186:E187"/>
    <mergeCell ref="H186:H187"/>
    <mergeCell ref="I186:I187"/>
    <mergeCell ref="K188:K189"/>
    <mergeCell ref="B204:B205"/>
    <mergeCell ref="C204:C205"/>
    <mergeCell ref="D204:D205"/>
    <mergeCell ref="E204:E205"/>
    <mergeCell ref="H204:H205"/>
    <mergeCell ref="I204:I205"/>
    <mergeCell ref="J204:J205"/>
    <mergeCell ref="J186:J187"/>
    <mergeCell ref="B188:B189"/>
    <mergeCell ref="C188:C189"/>
    <mergeCell ref="D188:D189"/>
    <mergeCell ref="E188:E189"/>
    <mergeCell ref="H188:H189"/>
    <mergeCell ref="I188:I189"/>
    <mergeCell ref="J188:J189"/>
    <mergeCell ref="J208:J209"/>
    <mergeCell ref="B210:B211"/>
    <mergeCell ref="C210:C211"/>
    <mergeCell ref="D210:D211"/>
    <mergeCell ref="E210:E211"/>
    <mergeCell ref="H210:H211"/>
    <mergeCell ref="I210:I211"/>
    <mergeCell ref="J210:J211"/>
    <mergeCell ref="B208:B209"/>
    <mergeCell ref="C208:C209"/>
    <mergeCell ref="D208:D209"/>
    <mergeCell ref="E208:E209"/>
    <mergeCell ref="H208:H209"/>
    <mergeCell ref="I208:I209"/>
    <mergeCell ref="J213:J215"/>
    <mergeCell ref="B219:B221"/>
    <mergeCell ref="C219:C220"/>
    <mergeCell ref="D219:D220"/>
    <mergeCell ref="E219:E220"/>
    <mergeCell ref="H219:H220"/>
    <mergeCell ref="I219:I220"/>
    <mergeCell ref="J219:J220"/>
    <mergeCell ref="B213:B215"/>
    <mergeCell ref="C213:C214"/>
    <mergeCell ref="D213:D215"/>
    <mergeCell ref="E213:E215"/>
    <mergeCell ref="H213:H215"/>
    <mergeCell ref="I213:I215"/>
    <mergeCell ref="J227:J228"/>
    <mergeCell ref="K227:K228"/>
    <mergeCell ref="B227:B228"/>
    <mergeCell ref="C227:C228"/>
    <mergeCell ref="D227:D228"/>
    <mergeCell ref="E227:E228"/>
    <mergeCell ref="H227:H228"/>
    <mergeCell ref="I227:I228"/>
    <mergeCell ref="K219:K221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74" fitToHeight="0" orientation="portrait" r:id="rId1"/>
  <headerFooter>
    <oddFooter>&amp;C&amp;P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2B87-2B14-4F10-AACE-3FB58E5AD0F7}">
  <dimension ref="B2:O8"/>
  <sheetViews>
    <sheetView workbookViewId="0">
      <selection activeCell="G3" sqref="G3:N3"/>
    </sheetView>
  </sheetViews>
  <sheetFormatPr defaultRowHeight="15.75" x14ac:dyDescent="0.25"/>
  <cols>
    <col min="3" max="3" width="18.875" customWidth="1"/>
    <col min="15" max="15" width="14.125" customWidth="1"/>
  </cols>
  <sheetData>
    <row r="2" spans="2:15" ht="20.25" customHeight="1" x14ac:dyDescent="0.25">
      <c r="B2" s="249" t="s">
        <v>7</v>
      </c>
      <c r="C2" s="174" t="s">
        <v>535</v>
      </c>
      <c r="D2" s="249" t="s">
        <v>537</v>
      </c>
      <c r="E2" s="249" t="s">
        <v>11</v>
      </c>
      <c r="F2" s="249" t="s">
        <v>538</v>
      </c>
      <c r="G2" s="249"/>
      <c r="H2" s="249"/>
      <c r="I2" s="249"/>
      <c r="J2" s="249"/>
      <c r="K2" s="249"/>
      <c r="L2" s="249"/>
      <c r="M2" s="249"/>
      <c r="N2" s="249"/>
      <c r="O2" s="174" t="s">
        <v>539</v>
      </c>
    </row>
    <row r="3" spans="2:15" ht="20.25" customHeight="1" x14ac:dyDescent="0.25">
      <c r="B3" s="249"/>
      <c r="C3" s="175" t="s">
        <v>536</v>
      </c>
      <c r="D3" s="249"/>
      <c r="E3" s="249"/>
      <c r="F3" s="159">
        <v>43</v>
      </c>
      <c r="G3" s="159">
        <v>22</v>
      </c>
      <c r="H3" s="159">
        <v>12</v>
      </c>
      <c r="I3" s="159">
        <v>8</v>
      </c>
      <c r="J3" s="159">
        <v>4</v>
      </c>
      <c r="K3" s="159" t="s">
        <v>541</v>
      </c>
      <c r="L3" s="159" t="s">
        <v>542</v>
      </c>
      <c r="M3" s="159">
        <v>1</v>
      </c>
      <c r="N3" s="159" t="s">
        <v>543</v>
      </c>
      <c r="O3" s="176" t="s">
        <v>540</v>
      </c>
    </row>
    <row r="4" spans="2:15" x14ac:dyDescent="0.25">
      <c r="B4" s="160"/>
      <c r="C4" s="161" t="s">
        <v>544</v>
      </c>
      <c r="D4" s="162"/>
      <c r="E4" s="162"/>
      <c r="F4" s="163"/>
      <c r="G4" s="163"/>
      <c r="H4" s="163"/>
      <c r="I4" s="163"/>
      <c r="J4" s="163"/>
      <c r="K4" s="163"/>
      <c r="L4" s="163"/>
      <c r="M4" s="163"/>
      <c r="N4" s="163"/>
      <c r="O4" s="162"/>
    </row>
    <row r="5" spans="2:15" x14ac:dyDescent="0.25">
      <c r="B5" s="164">
        <v>1</v>
      </c>
      <c r="C5" s="165" t="s">
        <v>545</v>
      </c>
      <c r="D5" s="166"/>
      <c r="E5" s="166"/>
      <c r="F5" s="167"/>
      <c r="G5" s="167"/>
      <c r="H5" s="167"/>
      <c r="I5" s="168"/>
      <c r="J5" s="168"/>
      <c r="K5" s="168"/>
      <c r="L5" s="168"/>
      <c r="M5" s="168"/>
      <c r="N5" s="168"/>
      <c r="O5" s="168"/>
    </row>
    <row r="6" spans="2:15" x14ac:dyDescent="0.25">
      <c r="B6" s="164">
        <v>2</v>
      </c>
      <c r="C6" s="165" t="s">
        <v>26</v>
      </c>
      <c r="D6" s="166"/>
      <c r="E6" s="166"/>
      <c r="F6" s="167"/>
      <c r="G6" s="167"/>
      <c r="H6" s="167"/>
      <c r="I6" s="168"/>
      <c r="J6" s="168"/>
      <c r="K6" s="168"/>
      <c r="L6" s="168"/>
      <c r="M6" s="168"/>
      <c r="N6" s="168"/>
      <c r="O6" s="168"/>
    </row>
    <row r="7" spans="2:15" x14ac:dyDescent="0.25">
      <c r="B7" s="164">
        <v>3</v>
      </c>
      <c r="C7" s="165" t="s">
        <v>344</v>
      </c>
      <c r="D7" s="166"/>
      <c r="E7" s="166"/>
      <c r="F7" s="167"/>
      <c r="G7" s="167"/>
      <c r="H7" s="167"/>
      <c r="I7" s="168"/>
      <c r="J7" s="168"/>
      <c r="K7" s="168"/>
      <c r="L7" s="168"/>
      <c r="M7" s="168"/>
      <c r="N7" s="168"/>
      <c r="O7" s="168"/>
    </row>
    <row r="8" spans="2:15" x14ac:dyDescent="0.25">
      <c r="B8" s="169">
        <v>4</v>
      </c>
      <c r="C8" s="170" t="s">
        <v>546</v>
      </c>
      <c r="D8" s="171"/>
      <c r="E8" s="171"/>
      <c r="F8" s="172"/>
      <c r="G8" s="172"/>
      <c r="H8" s="172"/>
      <c r="I8" s="173"/>
      <c r="J8" s="173"/>
      <c r="K8" s="173"/>
      <c r="L8" s="173"/>
      <c r="M8" s="173"/>
      <c r="N8" s="173"/>
      <c r="O8" s="173"/>
    </row>
  </sheetData>
  <mergeCells count="4">
    <mergeCell ref="B2:B3"/>
    <mergeCell ref="D2:D3"/>
    <mergeCell ref="E2:E3"/>
    <mergeCell ref="F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BEE5-557C-4B8E-93A8-1969056CF1B1}">
  <sheetPr>
    <tabColor rgb="FFFF0000"/>
    <pageSetUpPr fitToPage="1"/>
  </sheetPr>
  <dimension ref="A1:GT65435"/>
  <sheetViews>
    <sheetView tabSelected="1" view="pageBreakPreview" topLeftCell="B211" zoomScale="85" zoomScaleNormal="100" zoomScaleSheetLayoutView="85" workbookViewId="0">
      <selection activeCell="E227" sqref="E226:E227"/>
    </sheetView>
  </sheetViews>
  <sheetFormatPr defaultRowHeight="16.5" x14ac:dyDescent="0.25"/>
  <cols>
    <col min="1" max="1" width="0" style="1" hidden="1" customWidth="1"/>
    <col min="2" max="2" width="5.75" style="8" customWidth="1"/>
    <col min="3" max="6" width="23.625" style="9" customWidth="1"/>
    <col min="7" max="7" width="20.625" style="8" customWidth="1"/>
    <col min="8" max="8" width="9" style="1" hidden="1" customWidth="1"/>
    <col min="9" max="12" width="9" style="3" hidden="1" customWidth="1"/>
    <col min="13" max="13" width="9" style="1" hidden="1" customWidth="1"/>
    <col min="14" max="15" width="9" style="3" hidden="1" customWidth="1"/>
    <col min="16" max="16" width="9" style="3"/>
    <col min="17" max="17" width="9" style="1"/>
    <col min="18" max="18" width="15.125" style="3" hidden="1" customWidth="1"/>
    <col min="19" max="20" width="9" style="3" hidden="1" customWidth="1"/>
    <col min="21" max="21" width="27.625" style="3" hidden="1" customWidth="1"/>
    <col min="22" max="31" width="0" style="3" hidden="1" customWidth="1"/>
    <col min="32" max="252" width="9" style="3"/>
    <col min="253" max="253" width="0" style="3" hidden="1" customWidth="1"/>
    <col min="254" max="254" width="5.75" style="3" customWidth="1"/>
    <col min="255" max="255" width="21.625" style="3" customWidth="1"/>
    <col min="256" max="256" width="17.5" style="3" customWidth="1"/>
    <col min="257" max="257" width="19.125" style="3" customWidth="1"/>
    <col min="258" max="258" width="7.75" style="3" customWidth="1"/>
    <col min="259" max="259" width="8.875" style="3" customWidth="1"/>
    <col min="260" max="260" width="7.875" style="3" customWidth="1"/>
    <col min="261" max="262" width="8.75" style="3" customWidth="1"/>
    <col min="263" max="263" width="17.125" style="3" customWidth="1"/>
    <col min="264" max="277" width="0" style="3" hidden="1" customWidth="1"/>
    <col min="278" max="508" width="9" style="3"/>
    <col min="509" max="509" width="0" style="3" hidden="1" customWidth="1"/>
    <col min="510" max="510" width="5.75" style="3" customWidth="1"/>
    <col min="511" max="511" width="21.625" style="3" customWidth="1"/>
    <col min="512" max="512" width="17.5" style="3" customWidth="1"/>
    <col min="513" max="513" width="19.125" style="3" customWidth="1"/>
    <col min="514" max="514" width="7.75" style="3" customWidth="1"/>
    <col min="515" max="515" width="8.875" style="3" customWidth="1"/>
    <col min="516" max="516" width="7.875" style="3" customWidth="1"/>
    <col min="517" max="518" width="8.75" style="3" customWidth="1"/>
    <col min="519" max="519" width="17.125" style="3" customWidth="1"/>
    <col min="520" max="533" width="0" style="3" hidden="1" customWidth="1"/>
    <col min="534" max="764" width="9" style="3"/>
    <col min="765" max="765" width="0" style="3" hidden="1" customWidth="1"/>
    <col min="766" max="766" width="5.75" style="3" customWidth="1"/>
    <col min="767" max="767" width="21.625" style="3" customWidth="1"/>
    <col min="768" max="768" width="17.5" style="3" customWidth="1"/>
    <col min="769" max="769" width="19.125" style="3" customWidth="1"/>
    <col min="770" max="770" width="7.75" style="3" customWidth="1"/>
    <col min="771" max="771" width="8.875" style="3" customWidth="1"/>
    <col min="772" max="772" width="7.875" style="3" customWidth="1"/>
    <col min="773" max="774" width="8.75" style="3" customWidth="1"/>
    <col min="775" max="775" width="17.125" style="3" customWidth="1"/>
    <col min="776" max="789" width="0" style="3" hidden="1" customWidth="1"/>
    <col min="790" max="1020" width="9" style="3"/>
    <col min="1021" max="1021" width="0" style="3" hidden="1" customWidth="1"/>
    <col min="1022" max="1022" width="5.75" style="3" customWidth="1"/>
    <col min="1023" max="1023" width="21.625" style="3" customWidth="1"/>
    <col min="1024" max="1024" width="17.5" style="3" customWidth="1"/>
    <col min="1025" max="1025" width="19.125" style="3" customWidth="1"/>
    <col min="1026" max="1026" width="7.75" style="3" customWidth="1"/>
    <col min="1027" max="1027" width="8.875" style="3" customWidth="1"/>
    <col min="1028" max="1028" width="7.875" style="3" customWidth="1"/>
    <col min="1029" max="1030" width="8.75" style="3" customWidth="1"/>
    <col min="1031" max="1031" width="17.125" style="3" customWidth="1"/>
    <col min="1032" max="1045" width="0" style="3" hidden="1" customWidth="1"/>
    <col min="1046" max="1276" width="9" style="3"/>
    <col min="1277" max="1277" width="0" style="3" hidden="1" customWidth="1"/>
    <col min="1278" max="1278" width="5.75" style="3" customWidth="1"/>
    <col min="1279" max="1279" width="21.625" style="3" customWidth="1"/>
    <col min="1280" max="1280" width="17.5" style="3" customWidth="1"/>
    <col min="1281" max="1281" width="19.125" style="3" customWidth="1"/>
    <col min="1282" max="1282" width="7.75" style="3" customWidth="1"/>
    <col min="1283" max="1283" width="8.875" style="3" customWidth="1"/>
    <col min="1284" max="1284" width="7.875" style="3" customWidth="1"/>
    <col min="1285" max="1286" width="8.75" style="3" customWidth="1"/>
    <col min="1287" max="1287" width="17.125" style="3" customWidth="1"/>
    <col min="1288" max="1301" width="0" style="3" hidden="1" customWidth="1"/>
    <col min="1302" max="1532" width="9" style="3"/>
    <col min="1533" max="1533" width="0" style="3" hidden="1" customWidth="1"/>
    <col min="1534" max="1534" width="5.75" style="3" customWidth="1"/>
    <col min="1535" max="1535" width="21.625" style="3" customWidth="1"/>
    <col min="1536" max="1536" width="17.5" style="3" customWidth="1"/>
    <col min="1537" max="1537" width="19.125" style="3" customWidth="1"/>
    <col min="1538" max="1538" width="7.75" style="3" customWidth="1"/>
    <col min="1539" max="1539" width="8.875" style="3" customWidth="1"/>
    <col min="1540" max="1540" width="7.875" style="3" customWidth="1"/>
    <col min="1541" max="1542" width="8.75" style="3" customWidth="1"/>
    <col min="1543" max="1543" width="17.125" style="3" customWidth="1"/>
    <col min="1544" max="1557" width="0" style="3" hidden="1" customWidth="1"/>
    <col min="1558" max="1788" width="9" style="3"/>
    <col min="1789" max="1789" width="0" style="3" hidden="1" customWidth="1"/>
    <col min="1790" max="1790" width="5.75" style="3" customWidth="1"/>
    <col min="1791" max="1791" width="21.625" style="3" customWidth="1"/>
    <col min="1792" max="1792" width="17.5" style="3" customWidth="1"/>
    <col min="1793" max="1793" width="19.125" style="3" customWidth="1"/>
    <col min="1794" max="1794" width="7.75" style="3" customWidth="1"/>
    <col min="1795" max="1795" width="8.875" style="3" customWidth="1"/>
    <col min="1796" max="1796" width="7.875" style="3" customWidth="1"/>
    <col min="1797" max="1798" width="8.75" style="3" customWidth="1"/>
    <col min="1799" max="1799" width="17.125" style="3" customWidth="1"/>
    <col min="1800" max="1813" width="0" style="3" hidden="1" customWidth="1"/>
    <col min="1814" max="2044" width="9" style="3"/>
    <col min="2045" max="2045" width="0" style="3" hidden="1" customWidth="1"/>
    <col min="2046" max="2046" width="5.75" style="3" customWidth="1"/>
    <col min="2047" max="2047" width="21.625" style="3" customWidth="1"/>
    <col min="2048" max="2048" width="17.5" style="3" customWidth="1"/>
    <col min="2049" max="2049" width="19.125" style="3" customWidth="1"/>
    <col min="2050" max="2050" width="7.75" style="3" customWidth="1"/>
    <col min="2051" max="2051" width="8.875" style="3" customWidth="1"/>
    <col min="2052" max="2052" width="7.875" style="3" customWidth="1"/>
    <col min="2053" max="2054" width="8.75" style="3" customWidth="1"/>
    <col min="2055" max="2055" width="17.125" style="3" customWidth="1"/>
    <col min="2056" max="2069" width="0" style="3" hidden="1" customWidth="1"/>
    <col min="2070" max="2300" width="9" style="3"/>
    <col min="2301" max="2301" width="0" style="3" hidden="1" customWidth="1"/>
    <col min="2302" max="2302" width="5.75" style="3" customWidth="1"/>
    <col min="2303" max="2303" width="21.625" style="3" customWidth="1"/>
    <col min="2304" max="2304" width="17.5" style="3" customWidth="1"/>
    <col min="2305" max="2305" width="19.125" style="3" customWidth="1"/>
    <col min="2306" max="2306" width="7.75" style="3" customWidth="1"/>
    <col min="2307" max="2307" width="8.875" style="3" customWidth="1"/>
    <col min="2308" max="2308" width="7.875" style="3" customWidth="1"/>
    <col min="2309" max="2310" width="8.75" style="3" customWidth="1"/>
    <col min="2311" max="2311" width="17.125" style="3" customWidth="1"/>
    <col min="2312" max="2325" width="0" style="3" hidden="1" customWidth="1"/>
    <col min="2326" max="2556" width="9" style="3"/>
    <col min="2557" max="2557" width="0" style="3" hidden="1" customWidth="1"/>
    <col min="2558" max="2558" width="5.75" style="3" customWidth="1"/>
    <col min="2559" max="2559" width="21.625" style="3" customWidth="1"/>
    <col min="2560" max="2560" width="17.5" style="3" customWidth="1"/>
    <col min="2561" max="2561" width="19.125" style="3" customWidth="1"/>
    <col min="2562" max="2562" width="7.75" style="3" customWidth="1"/>
    <col min="2563" max="2563" width="8.875" style="3" customWidth="1"/>
    <col min="2564" max="2564" width="7.875" style="3" customWidth="1"/>
    <col min="2565" max="2566" width="8.75" style="3" customWidth="1"/>
    <col min="2567" max="2567" width="17.125" style="3" customWidth="1"/>
    <col min="2568" max="2581" width="0" style="3" hidden="1" customWidth="1"/>
    <col min="2582" max="2812" width="9" style="3"/>
    <col min="2813" max="2813" width="0" style="3" hidden="1" customWidth="1"/>
    <col min="2814" max="2814" width="5.75" style="3" customWidth="1"/>
    <col min="2815" max="2815" width="21.625" style="3" customWidth="1"/>
    <col min="2816" max="2816" width="17.5" style="3" customWidth="1"/>
    <col min="2817" max="2817" width="19.125" style="3" customWidth="1"/>
    <col min="2818" max="2818" width="7.75" style="3" customWidth="1"/>
    <col min="2819" max="2819" width="8.875" style="3" customWidth="1"/>
    <col min="2820" max="2820" width="7.875" style="3" customWidth="1"/>
    <col min="2821" max="2822" width="8.75" style="3" customWidth="1"/>
    <col min="2823" max="2823" width="17.125" style="3" customWidth="1"/>
    <col min="2824" max="2837" width="0" style="3" hidden="1" customWidth="1"/>
    <col min="2838" max="3068" width="9" style="3"/>
    <col min="3069" max="3069" width="0" style="3" hidden="1" customWidth="1"/>
    <col min="3070" max="3070" width="5.75" style="3" customWidth="1"/>
    <col min="3071" max="3071" width="21.625" style="3" customWidth="1"/>
    <col min="3072" max="3072" width="17.5" style="3" customWidth="1"/>
    <col min="3073" max="3073" width="19.125" style="3" customWidth="1"/>
    <col min="3074" max="3074" width="7.75" style="3" customWidth="1"/>
    <col min="3075" max="3075" width="8.875" style="3" customWidth="1"/>
    <col min="3076" max="3076" width="7.875" style="3" customWidth="1"/>
    <col min="3077" max="3078" width="8.75" style="3" customWidth="1"/>
    <col min="3079" max="3079" width="17.125" style="3" customWidth="1"/>
    <col min="3080" max="3093" width="0" style="3" hidden="1" customWidth="1"/>
    <col min="3094" max="3324" width="9" style="3"/>
    <col min="3325" max="3325" width="0" style="3" hidden="1" customWidth="1"/>
    <col min="3326" max="3326" width="5.75" style="3" customWidth="1"/>
    <col min="3327" max="3327" width="21.625" style="3" customWidth="1"/>
    <col min="3328" max="3328" width="17.5" style="3" customWidth="1"/>
    <col min="3329" max="3329" width="19.125" style="3" customWidth="1"/>
    <col min="3330" max="3330" width="7.75" style="3" customWidth="1"/>
    <col min="3331" max="3331" width="8.875" style="3" customWidth="1"/>
    <col min="3332" max="3332" width="7.875" style="3" customWidth="1"/>
    <col min="3333" max="3334" width="8.75" style="3" customWidth="1"/>
    <col min="3335" max="3335" width="17.125" style="3" customWidth="1"/>
    <col min="3336" max="3349" width="0" style="3" hidden="1" customWidth="1"/>
    <col min="3350" max="3580" width="9" style="3"/>
    <col min="3581" max="3581" width="0" style="3" hidden="1" customWidth="1"/>
    <col min="3582" max="3582" width="5.75" style="3" customWidth="1"/>
    <col min="3583" max="3583" width="21.625" style="3" customWidth="1"/>
    <col min="3584" max="3584" width="17.5" style="3" customWidth="1"/>
    <col min="3585" max="3585" width="19.125" style="3" customWidth="1"/>
    <col min="3586" max="3586" width="7.75" style="3" customWidth="1"/>
    <col min="3587" max="3587" width="8.875" style="3" customWidth="1"/>
    <col min="3588" max="3588" width="7.875" style="3" customWidth="1"/>
    <col min="3589" max="3590" width="8.75" style="3" customWidth="1"/>
    <col min="3591" max="3591" width="17.125" style="3" customWidth="1"/>
    <col min="3592" max="3605" width="0" style="3" hidden="1" customWidth="1"/>
    <col min="3606" max="3836" width="9" style="3"/>
    <col min="3837" max="3837" width="0" style="3" hidden="1" customWidth="1"/>
    <col min="3838" max="3838" width="5.75" style="3" customWidth="1"/>
    <col min="3839" max="3839" width="21.625" style="3" customWidth="1"/>
    <col min="3840" max="3840" width="17.5" style="3" customWidth="1"/>
    <col min="3841" max="3841" width="19.125" style="3" customWidth="1"/>
    <col min="3842" max="3842" width="7.75" style="3" customWidth="1"/>
    <col min="3843" max="3843" width="8.875" style="3" customWidth="1"/>
    <col min="3844" max="3844" width="7.875" style="3" customWidth="1"/>
    <col min="3845" max="3846" width="8.75" style="3" customWidth="1"/>
    <col min="3847" max="3847" width="17.125" style="3" customWidth="1"/>
    <col min="3848" max="3861" width="0" style="3" hidden="1" customWidth="1"/>
    <col min="3862" max="4092" width="9" style="3"/>
    <col min="4093" max="4093" width="0" style="3" hidden="1" customWidth="1"/>
    <col min="4094" max="4094" width="5.75" style="3" customWidth="1"/>
    <col min="4095" max="4095" width="21.625" style="3" customWidth="1"/>
    <col min="4096" max="4096" width="17.5" style="3" customWidth="1"/>
    <col min="4097" max="4097" width="19.125" style="3" customWidth="1"/>
    <col min="4098" max="4098" width="7.75" style="3" customWidth="1"/>
    <col min="4099" max="4099" width="8.875" style="3" customWidth="1"/>
    <col min="4100" max="4100" width="7.875" style="3" customWidth="1"/>
    <col min="4101" max="4102" width="8.75" style="3" customWidth="1"/>
    <col min="4103" max="4103" width="17.125" style="3" customWidth="1"/>
    <col min="4104" max="4117" width="0" style="3" hidden="1" customWidth="1"/>
    <col min="4118" max="4348" width="9" style="3"/>
    <col min="4349" max="4349" width="0" style="3" hidden="1" customWidth="1"/>
    <col min="4350" max="4350" width="5.75" style="3" customWidth="1"/>
    <col min="4351" max="4351" width="21.625" style="3" customWidth="1"/>
    <col min="4352" max="4352" width="17.5" style="3" customWidth="1"/>
    <col min="4353" max="4353" width="19.125" style="3" customWidth="1"/>
    <col min="4354" max="4354" width="7.75" style="3" customWidth="1"/>
    <col min="4355" max="4355" width="8.875" style="3" customWidth="1"/>
    <col min="4356" max="4356" width="7.875" style="3" customWidth="1"/>
    <col min="4357" max="4358" width="8.75" style="3" customWidth="1"/>
    <col min="4359" max="4359" width="17.125" style="3" customWidth="1"/>
    <col min="4360" max="4373" width="0" style="3" hidden="1" customWidth="1"/>
    <col min="4374" max="4604" width="9" style="3"/>
    <col min="4605" max="4605" width="0" style="3" hidden="1" customWidth="1"/>
    <col min="4606" max="4606" width="5.75" style="3" customWidth="1"/>
    <col min="4607" max="4607" width="21.625" style="3" customWidth="1"/>
    <col min="4608" max="4608" width="17.5" style="3" customWidth="1"/>
    <col min="4609" max="4609" width="19.125" style="3" customWidth="1"/>
    <col min="4610" max="4610" width="7.75" style="3" customWidth="1"/>
    <col min="4611" max="4611" width="8.875" style="3" customWidth="1"/>
    <col min="4612" max="4612" width="7.875" style="3" customWidth="1"/>
    <col min="4613" max="4614" width="8.75" style="3" customWidth="1"/>
    <col min="4615" max="4615" width="17.125" style="3" customWidth="1"/>
    <col min="4616" max="4629" width="0" style="3" hidden="1" customWidth="1"/>
    <col min="4630" max="4860" width="9" style="3"/>
    <col min="4861" max="4861" width="0" style="3" hidden="1" customWidth="1"/>
    <col min="4862" max="4862" width="5.75" style="3" customWidth="1"/>
    <col min="4863" max="4863" width="21.625" style="3" customWidth="1"/>
    <col min="4864" max="4864" width="17.5" style="3" customWidth="1"/>
    <col min="4865" max="4865" width="19.125" style="3" customWidth="1"/>
    <col min="4866" max="4866" width="7.75" style="3" customWidth="1"/>
    <col min="4867" max="4867" width="8.875" style="3" customWidth="1"/>
    <col min="4868" max="4868" width="7.875" style="3" customWidth="1"/>
    <col min="4869" max="4870" width="8.75" style="3" customWidth="1"/>
    <col min="4871" max="4871" width="17.125" style="3" customWidth="1"/>
    <col min="4872" max="4885" width="0" style="3" hidden="1" customWidth="1"/>
    <col min="4886" max="5116" width="9" style="3"/>
    <col min="5117" max="5117" width="0" style="3" hidden="1" customWidth="1"/>
    <col min="5118" max="5118" width="5.75" style="3" customWidth="1"/>
    <col min="5119" max="5119" width="21.625" style="3" customWidth="1"/>
    <col min="5120" max="5120" width="17.5" style="3" customWidth="1"/>
    <col min="5121" max="5121" width="19.125" style="3" customWidth="1"/>
    <col min="5122" max="5122" width="7.75" style="3" customWidth="1"/>
    <col min="5123" max="5123" width="8.875" style="3" customWidth="1"/>
    <col min="5124" max="5124" width="7.875" style="3" customWidth="1"/>
    <col min="5125" max="5126" width="8.75" style="3" customWidth="1"/>
    <col min="5127" max="5127" width="17.125" style="3" customWidth="1"/>
    <col min="5128" max="5141" width="0" style="3" hidden="1" customWidth="1"/>
    <col min="5142" max="5372" width="9" style="3"/>
    <col min="5373" max="5373" width="0" style="3" hidden="1" customWidth="1"/>
    <col min="5374" max="5374" width="5.75" style="3" customWidth="1"/>
    <col min="5375" max="5375" width="21.625" style="3" customWidth="1"/>
    <col min="5376" max="5376" width="17.5" style="3" customWidth="1"/>
    <col min="5377" max="5377" width="19.125" style="3" customWidth="1"/>
    <col min="5378" max="5378" width="7.75" style="3" customWidth="1"/>
    <col min="5379" max="5379" width="8.875" style="3" customWidth="1"/>
    <col min="5380" max="5380" width="7.875" style="3" customWidth="1"/>
    <col min="5381" max="5382" width="8.75" style="3" customWidth="1"/>
    <col min="5383" max="5383" width="17.125" style="3" customWidth="1"/>
    <col min="5384" max="5397" width="0" style="3" hidden="1" customWidth="1"/>
    <col min="5398" max="5628" width="9" style="3"/>
    <col min="5629" max="5629" width="0" style="3" hidden="1" customWidth="1"/>
    <col min="5630" max="5630" width="5.75" style="3" customWidth="1"/>
    <col min="5631" max="5631" width="21.625" style="3" customWidth="1"/>
    <col min="5632" max="5632" width="17.5" style="3" customWidth="1"/>
    <col min="5633" max="5633" width="19.125" style="3" customWidth="1"/>
    <col min="5634" max="5634" width="7.75" style="3" customWidth="1"/>
    <col min="5635" max="5635" width="8.875" style="3" customWidth="1"/>
    <col min="5636" max="5636" width="7.875" style="3" customWidth="1"/>
    <col min="5637" max="5638" width="8.75" style="3" customWidth="1"/>
    <col min="5639" max="5639" width="17.125" style="3" customWidth="1"/>
    <col min="5640" max="5653" width="0" style="3" hidden="1" customWidth="1"/>
    <col min="5654" max="5884" width="9" style="3"/>
    <col min="5885" max="5885" width="0" style="3" hidden="1" customWidth="1"/>
    <col min="5886" max="5886" width="5.75" style="3" customWidth="1"/>
    <col min="5887" max="5887" width="21.625" style="3" customWidth="1"/>
    <col min="5888" max="5888" width="17.5" style="3" customWidth="1"/>
    <col min="5889" max="5889" width="19.125" style="3" customWidth="1"/>
    <col min="5890" max="5890" width="7.75" style="3" customWidth="1"/>
    <col min="5891" max="5891" width="8.875" style="3" customWidth="1"/>
    <col min="5892" max="5892" width="7.875" style="3" customWidth="1"/>
    <col min="5893" max="5894" width="8.75" style="3" customWidth="1"/>
    <col min="5895" max="5895" width="17.125" style="3" customWidth="1"/>
    <col min="5896" max="5909" width="0" style="3" hidden="1" customWidth="1"/>
    <col min="5910" max="6140" width="9" style="3"/>
    <col min="6141" max="6141" width="0" style="3" hidden="1" customWidth="1"/>
    <col min="6142" max="6142" width="5.75" style="3" customWidth="1"/>
    <col min="6143" max="6143" width="21.625" style="3" customWidth="1"/>
    <col min="6144" max="6144" width="17.5" style="3" customWidth="1"/>
    <col min="6145" max="6145" width="19.125" style="3" customWidth="1"/>
    <col min="6146" max="6146" width="7.75" style="3" customWidth="1"/>
    <col min="6147" max="6147" width="8.875" style="3" customWidth="1"/>
    <col min="6148" max="6148" width="7.875" style="3" customWidth="1"/>
    <col min="6149" max="6150" width="8.75" style="3" customWidth="1"/>
    <col min="6151" max="6151" width="17.125" style="3" customWidth="1"/>
    <col min="6152" max="6165" width="0" style="3" hidden="1" customWidth="1"/>
    <col min="6166" max="6396" width="9" style="3"/>
    <col min="6397" max="6397" width="0" style="3" hidden="1" customWidth="1"/>
    <col min="6398" max="6398" width="5.75" style="3" customWidth="1"/>
    <col min="6399" max="6399" width="21.625" style="3" customWidth="1"/>
    <col min="6400" max="6400" width="17.5" style="3" customWidth="1"/>
    <col min="6401" max="6401" width="19.125" style="3" customWidth="1"/>
    <col min="6402" max="6402" width="7.75" style="3" customWidth="1"/>
    <col min="6403" max="6403" width="8.875" style="3" customWidth="1"/>
    <col min="6404" max="6404" width="7.875" style="3" customWidth="1"/>
    <col min="6405" max="6406" width="8.75" style="3" customWidth="1"/>
    <col min="6407" max="6407" width="17.125" style="3" customWidth="1"/>
    <col min="6408" max="6421" width="0" style="3" hidden="1" customWidth="1"/>
    <col min="6422" max="6652" width="9" style="3"/>
    <col min="6653" max="6653" width="0" style="3" hidden="1" customWidth="1"/>
    <col min="6654" max="6654" width="5.75" style="3" customWidth="1"/>
    <col min="6655" max="6655" width="21.625" style="3" customWidth="1"/>
    <col min="6656" max="6656" width="17.5" style="3" customWidth="1"/>
    <col min="6657" max="6657" width="19.125" style="3" customWidth="1"/>
    <col min="6658" max="6658" width="7.75" style="3" customWidth="1"/>
    <col min="6659" max="6659" width="8.875" style="3" customWidth="1"/>
    <col min="6660" max="6660" width="7.875" style="3" customWidth="1"/>
    <col min="6661" max="6662" width="8.75" style="3" customWidth="1"/>
    <col min="6663" max="6663" width="17.125" style="3" customWidth="1"/>
    <col min="6664" max="6677" width="0" style="3" hidden="1" customWidth="1"/>
    <col min="6678" max="6908" width="9" style="3"/>
    <col min="6909" max="6909" width="0" style="3" hidden="1" customWidth="1"/>
    <col min="6910" max="6910" width="5.75" style="3" customWidth="1"/>
    <col min="6911" max="6911" width="21.625" style="3" customWidth="1"/>
    <col min="6912" max="6912" width="17.5" style="3" customWidth="1"/>
    <col min="6913" max="6913" width="19.125" style="3" customWidth="1"/>
    <col min="6914" max="6914" width="7.75" style="3" customWidth="1"/>
    <col min="6915" max="6915" width="8.875" style="3" customWidth="1"/>
    <col min="6916" max="6916" width="7.875" style="3" customWidth="1"/>
    <col min="6917" max="6918" width="8.75" style="3" customWidth="1"/>
    <col min="6919" max="6919" width="17.125" style="3" customWidth="1"/>
    <col min="6920" max="6933" width="0" style="3" hidden="1" customWidth="1"/>
    <col min="6934" max="7164" width="9" style="3"/>
    <col min="7165" max="7165" width="0" style="3" hidden="1" customWidth="1"/>
    <col min="7166" max="7166" width="5.75" style="3" customWidth="1"/>
    <col min="7167" max="7167" width="21.625" style="3" customWidth="1"/>
    <col min="7168" max="7168" width="17.5" style="3" customWidth="1"/>
    <col min="7169" max="7169" width="19.125" style="3" customWidth="1"/>
    <col min="7170" max="7170" width="7.75" style="3" customWidth="1"/>
    <col min="7171" max="7171" width="8.875" style="3" customWidth="1"/>
    <col min="7172" max="7172" width="7.875" style="3" customWidth="1"/>
    <col min="7173" max="7174" width="8.75" style="3" customWidth="1"/>
    <col min="7175" max="7175" width="17.125" style="3" customWidth="1"/>
    <col min="7176" max="7189" width="0" style="3" hidden="1" customWidth="1"/>
    <col min="7190" max="7420" width="9" style="3"/>
    <col min="7421" max="7421" width="0" style="3" hidden="1" customWidth="1"/>
    <col min="7422" max="7422" width="5.75" style="3" customWidth="1"/>
    <col min="7423" max="7423" width="21.625" style="3" customWidth="1"/>
    <col min="7424" max="7424" width="17.5" style="3" customWidth="1"/>
    <col min="7425" max="7425" width="19.125" style="3" customWidth="1"/>
    <col min="7426" max="7426" width="7.75" style="3" customWidth="1"/>
    <col min="7427" max="7427" width="8.875" style="3" customWidth="1"/>
    <col min="7428" max="7428" width="7.875" style="3" customWidth="1"/>
    <col min="7429" max="7430" width="8.75" style="3" customWidth="1"/>
    <col min="7431" max="7431" width="17.125" style="3" customWidth="1"/>
    <col min="7432" max="7445" width="0" style="3" hidden="1" customWidth="1"/>
    <col min="7446" max="7676" width="9" style="3"/>
    <col min="7677" max="7677" width="0" style="3" hidden="1" customWidth="1"/>
    <col min="7678" max="7678" width="5.75" style="3" customWidth="1"/>
    <col min="7679" max="7679" width="21.625" style="3" customWidth="1"/>
    <col min="7680" max="7680" width="17.5" style="3" customWidth="1"/>
    <col min="7681" max="7681" width="19.125" style="3" customWidth="1"/>
    <col min="7682" max="7682" width="7.75" style="3" customWidth="1"/>
    <col min="7683" max="7683" width="8.875" style="3" customWidth="1"/>
    <col min="7684" max="7684" width="7.875" style="3" customWidth="1"/>
    <col min="7685" max="7686" width="8.75" style="3" customWidth="1"/>
    <col min="7687" max="7687" width="17.125" style="3" customWidth="1"/>
    <col min="7688" max="7701" width="0" style="3" hidden="1" customWidth="1"/>
    <col min="7702" max="7932" width="9" style="3"/>
    <col min="7933" max="7933" width="0" style="3" hidden="1" customWidth="1"/>
    <col min="7934" max="7934" width="5.75" style="3" customWidth="1"/>
    <col min="7935" max="7935" width="21.625" style="3" customWidth="1"/>
    <col min="7936" max="7936" width="17.5" style="3" customWidth="1"/>
    <col min="7937" max="7937" width="19.125" style="3" customWidth="1"/>
    <col min="7938" max="7938" width="7.75" style="3" customWidth="1"/>
    <col min="7939" max="7939" width="8.875" style="3" customWidth="1"/>
    <col min="7940" max="7940" width="7.875" style="3" customWidth="1"/>
    <col min="7941" max="7942" width="8.75" style="3" customWidth="1"/>
    <col min="7943" max="7943" width="17.125" style="3" customWidth="1"/>
    <col min="7944" max="7957" width="0" style="3" hidden="1" customWidth="1"/>
    <col min="7958" max="8188" width="9" style="3"/>
    <col min="8189" max="8189" width="0" style="3" hidden="1" customWidth="1"/>
    <col min="8190" max="8190" width="5.75" style="3" customWidth="1"/>
    <col min="8191" max="8191" width="21.625" style="3" customWidth="1"/>
    <col min="8192" max="8192" width="17.5" style="3" customWidth="1"/>
    <col min="8193" max="8193" width="19.125" style="3" customWidth="1"/>
    <col min="8194" max="8194" width="7.75" style="3" customWidth="1"/>
    <col min="8195" max="8195" width="8.875" style="3" customWidth="1"/>
    <col min="8196" max="8196" width="7.875" style="3" customWidth="1"/>
    <col min="8197" max="8198" width="8.75" style="3" customWidth="1"/>
    <col min="8199" max="8199" width="17.125" style="3" customWidth="1"/>
    <col min="8200" max="8213" width="0" style="3" hidden="1" customWidth="1"/>
    <col min="8214" max="8444" width="9" style="3"/>
    <col min="8445" max="8445" width="0" style="3" hidden="1" customWidth="1"/>
    <col min="8446" max="8446" width="5.75" style="3" customWidth="1"/>
    <col min="8447" max="8447" width="21.625" style="3" customWidth="1"/>
    <col min="8448" max="8448" width="17.5" style="3" customWidth="1"/>
    <col min="8449" max="8449" width="19.125" style="3" customWidth="1"/>
    <col min="8450" max="8450" width="7.75" style="3" customWidth="1"/>
    <col min="8451" max="8451" width="8.875" style="3" customWidth="1"/>
    <col min="8452" max="8452" width="7.875" style="3" customWidth="1"/>
    <col min="8453" max="8454" width="8.75" style="3" customWidth="1"/>
    <col min="8455" max="8455" width="17.125" style="3" customWidth="1"/>
    <col min="8456" max="8469" width="0" style="3" hidden="1" customWidth="1"/>
    <col min="8470" max="8700" width="9" style="3"/>
    <col min="8701" max="8701" width="0" style="3" hidden="1" customWidth="1"/>
    <col min="8702" max="8702" width="5.75" style="3" customWidth="1"/>
    <col min="8703" max="8703" width="21.625" style="3" customWidth="1"/>
    <col min="8704" max="8704" width="17.5" style="3" customWidth="1"/>
    <col min="8705" max="8705" width="19.125" style="3" customWidth="1"/>
    <col min="8706" max="8706" width="7.75" style="3" customWidth="1"/>
    <col min="8707" max="8707" width="8.875" style="3" customWidth="1"/>
    <col min="8708" max="8708" width="7.875" style="3" customWidth="1"/>
    <col min="8709" max="8710" width="8.75" style="3" customWidth="1"/>
    <col min="8711" max="8711" width="17.125" style="3" customWidth="1"/>
    <col min="8712" max="8725" width="0" style="3" hidden="1" customWidth="1"/>
    <col min="8726" max="8956" width="9" style="3"/>
    <col min="8957" max="8957" width="0" style="3" hidden="1" customWidth="1"/>
    <col min="8958" max="8958" width="5.75" style="3" customWidth="1"/>
    <col min="8959" max="8959" width="21.625" style="3" customWidth="1"/>
    <col min="8960" max="8960" width="17.5" style="3" customWidth="1"/>
    <col min="8961" max="8961" width="19.125" style="3" customWidth="1"/>
    <col min="8962" max="8962" width="7.75" style="3" customWidth="1"/>
    <col min="8963" max="8963" width="8.875" style="3" customWidth="1"/>
    <col min="8964" max="8964" width="7.875" style="3" customWidth="1"/>
    <col min="8965" max="8966" width="8.75" style="3" customWidth="1"/>
    <col min="8967" max="8967" width="17.125" style="3" customWidth="1"/>
    <col min="8968" max="8981" width="0" style="3" hidden="1" customWidth="1"/>
    <col min="8982" max="9212" width="9" style="3"/>
    <col min="9213" max="9213" width="0" style="3" hidden="1" customWidth="1"/>
    <col min="9214" max="9214" width="5.75" style="3" customWidth="1"/>
    <col min="9215" max="9215" width="21.625" style="3" customWidth="1"/>
    <col min="9216" max="9216" width="17.5" style="3" customWidth="1"/>
    <col min="9217" max="9217" width="19.125" style="3" customWidth="1"/>
    <col min="9218" max="9218" width="7.75" style="3" customWidth="1"/>
    <col min="9219" max="9219" width="8.875" style="3" customWidth="1"/>
    <col min="9220" max="9220" width="7.875" style="3" customWidth="1"/>
    <col min="9221" max="9222" width="8.75" style="3" customWidth="1"/>
    <col min="9223" max="9223" width="17.125" style="3" customWidth="1"/>
    <col min="9224" max="9237" width="0" style="3" hidden="1" customWidth="1"/>
    <col min="9238" max="9468" width="9" style="3"/>
    <col min="9469" max="9469" width="0" style="3" hidden="1" customWidth="1"/>
    <col min="9470" max="9470" width="5.75" style="3" customWidth="1"/>
    <col min="9471" max="9471" width="21.625" style="3" customWidth="1"/>
    <col min="9472" max="9472" width="17.5" style="3" customWidth="1"/>
    <col min="9473" max="9473" width="19.125" style="3" customWidth="1"/>
    <col min="9474" max="9474" width="7.75" style="3" customWidth="1"/>
    <col min="9475" max="9475" width="8.875" style="3" customWidth="1"/>
    <col min="9476" max="9476" width="7.875" style="3" customWidth="1"/>
    <col min="9477" max="9478" width="8.75" style="3" customWidth="1"/>
    <col min="9479" max="9479" width="17.125" style="3" customWidth="1"/>
    <col min="9480" max="9493" width="0" style="3" hidden="1" customWidth="1"/>
    <col min="9494" max="9724" width="9" style="3"/>
    <col min="9725" max="9725" width="0" style="3" hidden="1" customWidth="1"/>
    <col min="9726" max="9726" width="5.75" style="3" customWidth="1"/>
    <col min="9727" max="9727" width="21.625" style="3" customWidth="1"/>
    <col min="9728" max="9728" width="17.5" style="3" customWidth="1"/>
    <col min="9729" max="9729" width="19.125" style="3" customWidth="1"/>
    <col min="9730" max="9730" width="7.75" style="3" customWidth="1"/>
    <col min="9731" max="9731" width="8.875" style="3" customWidth="1"/>
    <col min="9732" max="9732" width="7.875" style="3" customWidth="1"/>
    <col min="9733" max="9734" width="8.75" style="3" customWidth="1"/>
    <col min="9735" max="9735" width="17.125" style="3" customWidth="1"/>
    <col min="9736" max="9749" width="0" style="3" hidden="1" customWidth="1"/>
    <col min="9750" max="9980" width="9" style="3"/>
    <col min="9981" max="9981" width="0" style="3" hidden="1" customWidth="1"/>
    <col min="9982" max="9982" width="5.75" style="3" customWidth="1"/>
    <col min="9983" max="9983" width="21.625" style="3" customWidth="1"/>
    <col min="9984" max="9984" width="17.5" style="3" customWidth="1"/>
    <col min="9985" max="9985" width="19.125" style="3" customWidth="1"/>
    <col min="9986" max="9986" width="7.75" style="3" customWidth="1"/>
    <col min="9987" max="9987" width="8.875" style="3" customWidth="1"/>
    <col min="9988" max="9988" width="7.875" style="3" customWidth="1"/>
    <col min="9989" max="9990" width="8.75" style="3" customWidth="1"/>
    <col min="9991" max="9991" width="17.125" style="3" customWidth="1"/>
    <col min="9992" max="10005" width="0" style="3" hidden="1" customWidth="1"/>
    <col min="10006" max="10236" width="9" style="3"/>
    <col min="10237" max="10237" width="0" style="3" hidden="1" customWidth="1"/>
    <col min="10238" max="10238" width="5.75" style="3" customWidth="1"/>
    <col min="10239" max="10239" width="21.625" style="3" customWidth="1"/>
    <col min="10240" max="10240" width="17.5" style="3" customWidth="1"/>
    <col min="10241" max="10241" width="19.125" style="3" customWidth="1"/>
    <col min="10242" max="10242" width="7.75" style="3" customWidth="1"/>
    <col min="10243" max="10243" width="8.875" style="3" customWidth="1"/>
    <col min="10244" max="10244" width="7.875" style="3" customWidth="1"/>
    <col min="10245" max="10246" width="8.75" style="3" customWidth="1"/>
    <col min="10247" max="10247" width="17.125" style="3" customWidth="1"/>
    <col min="10248" max="10261" width="0" style="3" hidden="1" customWidth="1"/>
    <col min="10262" max="10492" width="9" style="3"/>
    <col min="10493" max="10493" width="0" style="3" hidden="1" customWidth="1"/>
    <col min="10494" max="10494" width="5.75" style="3" customWidth="1"/>
    <col min="10495" max="10495" width="21.625" style="3" customWidth="1"/>
    <col min="10496" max="10496" width="17.5" style="3" customWidth="1"/>
    <col min="10497" max="10497" width="19.125" style="3" customWidth="1"/>
    <col min="10498" max="10498" width="7.75" style="3" customWidth="1"/>
    <col min="10499" max="10499" width="8.875" style="3" customWidth="1"/>
    <col min="10500" max="10500" width="7.875" style="3" customWidth="1"/>
    <col min="10501" max="10502" width="8.75" style="3" customWidth="1"/>
    <col min="10503" max="10503" width="17.125" style="3" customWidth="1"/>
    <col min="10504" max="10517" width="0" style="3" hidden="1" customWidth="1"/>
    <col min="10518" max="10748" width="9" style="3"/>
    <col min="10749" max="10749" width="0" style="3" hidden="1" customWidth="1"/>
    <col min="10750" max="10750" width="5.75" style="3" customWidth="1"/>
    <col min="10751" max="10751" width="21.625" style="3" customWidth="1"/>
    <col min="10752" max="10752" width="17.5" style="3" customWidth="1"/>
    <col min="10753" max="10753" width="19.125" style="3" customWidth="1"/>
    <col min="10754" max="10754" width="7.75" style="3" customWidth="1"/>
    <col min="10755" max="10755" width="8.875" style="3" customWidth="1"/>
    <col min="10756" max="10756" width="7.875" style="3" customWidth="1"/>
    <col min="10757" max="10758" width="8.75" style="3" customWidth="1"/>
    <col min="10759" max="10759" width="17.125" style="3" customWidth="1"/>
    <col min="10760" max="10773" width="0" style="3" hidden="1" customWidth="1"/>
    <col min="10774" max="11004" width="9" style="3"/>
    <col min="11005" max="11005" width="0" style="3" hidden="1" customWidth="1"/>
    <col min="11006" max="11006" width="5.75" style="3" customWidth="1"/>
    <col min="11007" max="11007" width="21.625" style="3" customWidth="1"/>
    <col min="11008" max="11008" width="17.5" style="3" customWidth="1"/>
    <col min="11009" max="11009" width="19.125" style="3" customWidth="1"/>
    <col min="11010" max="11010" width="7.75" style="3" customWidth="1"/>
    <col min="11011" max="11011" width="8.875" style="3" customWidth="1"/>
    <col min="11012" max="11012" width="7.875" style="3" customWidth="1"/>
    <col min="11013" max="11014" width="8.75" style="3" customWidth="1"/>
    <col min="11015" max="11015" width="17.125" style="3" customWidth="1"/>
    <col min="11016" max="11029" width="0" style="3" hidden="1" customWidth="1"/>
    <col min="11030" max="11260" width="9" style="3"/>
    <col min="11261" max="11261" width="0" style="3" hidden="1" customWidth="1"/>
    <col min="11262" max="11262" width="5.75" style="3" customWidth="1"/>
    <col min="11263" max="11263" width="21.625" style="3" customWidth="1"/>
    <col min="11264" max="11264" width="17.5" style="3" customWidth="1"/>
    <col min="11265" max="11265" width="19.125" style="3" customWidth="1"/>
    <col min="11266" max="11266" width="7.75" style="3" customWidth="1"/>
    <col min="11267" max="11267" width="8.875" style="3" customWidth="1"/>
    <col min="11268" max="11268" width="7.875" style="3" customWidth="1"/>
    <col min="11269" max="11270" width="8.75" style="3" customWidth="1"/>
    <col min="11271" max="11271" width="17.125" style="3" customWidth="1"/>
    <col min="11272" max="11285" width="0" style="3" hidden="1" customWidth="1"/>
    <col min="11286" max="11516" width="9" style="3"/>
    <col min="11517" max="11517" width="0" style="3" hidden="1" customWidth="1"/>
    <col min="11518" max="11518" width="5.75" style="3" customWidth="1"/>
    <col min="11519" max="11519" width="21.625" style="3" customWidth="1"/>
    <col min="11520" max="11520" width="17.5" style="3" customWidth="1"/>
    <col min="11521" max="11521" width="19.125" style="3" customWidth="1"/>
    <col min="11522" max="11522" width="7.75" style="3" customWidth="1"/>
    <col min="11523" max="11523" width="8.875" style="3" customWidth="1"/>
    <col min="11524" max="11524" width="7.875" style="3" customWidth="1"/>
    <col min="11525" max="11526" width="8.75" style="3" customWidth="1"/>
    <col min="11527" max="11527" width="17.125" style="3" customWidth="1"/>
    <col min="11528" max="11541" width="0" style="3" hidden="1" customWidth="1"/>
    <col min="11542" max="11772" width="9" style="3"/>
    <col min="11773" max="11773" width="0" style="3" hidden="1" customWidth="1"/>
    <col min="11774" max="11774" width="5.75" style="3" customWidth="1"/>
    <col min="11775" max="11775" width="21.625" style="3" customWidth="1"/>
    <col min="11776" max="11776" width="17.5" style="3" customWidth="1"/>
    <col min="11777" max="11777" width="19.125" style="3" customWidth="1"/>
    <col min="11778" max="11778" width="7.75" style="3" customWidth="1"/>
    <col min="11779" max="11779" width="8.875" style="3" customWidth="1"/>
    <col min="11780" max="11780" width="7.875" style="3" customWidth="1"/>
    <col min="11781" max="11782" width="8.75" style="3" customWidth="1"/>
    <col min="11783" max="11783" width="17.125" style="3" customWidth="1"/>
    <col min="11784" max="11797" width="0" style="3" hidden="1" customWidth="1"/>
    <col min="11798" max="12028" width="9" style="3"/>
    <col min="12029" max="12029" width="0" style="3" hidden="1" customWidth="1"/>
    <col min="12030" max="12030" width="5.75" style="3" customWidth="1"/>
    <col min="12031" max="12031" width="21.625" style="3" customWidth="1"/>
    <col min="12032" max="12032" width="17.5" style="3" customWidth="1"/>
    <col min="12033" max="12033" width="19.125" style="3" customWidth="1"/>
    <col min="12034" max="12034" width="7.75" style="3" customWidth="1"/>
    <col min="12035" max="12035" width="8.875" style="3" customWidth="1"/>
    <col min="12036" max="12036" width="7.875" style="3" customWidth="1"/>
    <col min="12037" max="12038" width="8.75" style="3" customWidth="1"/>
    <col min="12039" max="12039" width="17.125" style="3" customWidth="1"/>
    <col min="12040" max="12053" width="0" style="3" hidden="1" customWidth="1"/>
    <col min="12054" max="12284" width="9" style="3"/>
    <col min="12285" max="12285" width="0" style="3" hidden="1" customWidth="1"/>
    <col min="12286" max="12286" width="5.75" style="3" customWidth="1"/>
    <col min="12287" max="12287" width="21.625" style="3" customWidth="1"/>
    <col min="12288" max="12288" width="17.5" style="3" customWidth="1"/>
    <col min="12289" max="12289" width="19.125" style="3" customWidth="1"/>
    <col min="12290" max="12290" width="7.75" style="3" customWidth="1"/>
    <col min="12291" max="12291" width="8.875" style="3" customWidth="1"/>
    <col min="12292" max="12292" width="7.875" style="3" customWidth="1"/>
    <col min="12293" max="12294" width="8.75" style="3" customWidth="1"/>
    <col min="12295" max="12295" width="17.125" style="3" customWidth="1"/>
    <col min="12296" max="12309" width="0" style="3" hidden="1" customWidth="1"/>
    <col min="12310" max="12540" width="9" style="3"/>
    <col min="12541" max="12541" width="0" style="3" hidden="1" customWidth="1"/>
    <col min="12542" max="12542" width="5.75" style="3" customWidth="1"/>
    <col min="12543" max="12543" width="21.625" style="3" customWidth="1"/>
    <col min="12544" max="12544" width="17.5" style="3" customWidth="1"/>
    <col min="12545" max="12545" width="19.125" style="3" customWidth="1"/>
    <col min="12546" max="12546" width="7.75" style="3" customWidth="1"/>
    <col min="12547" max="12547" width="8.875" style="3" customWidth="1"/>
    <col min="12548" max="12548" width="7.875" style="3" customWidth="1"/>
    <col min="12549" max="12550" width="8.75" style="3" customWidth="1"/>
    <col min="12551" max="12551" width="17.125" style="3" customWidth="1"/>
    <col min="12552" max="12565" width="0" style="3" hidden="1" customWidth="1"/>
    <col min="12566" max="12796" width="9" style="3"/>
    <col min="12797" max="12797" width="0" style="3" hidden="1" customWidth="1"/>
    <col min="12798" max="12798" width="5.75" style="3" customWidth="1"/>
    <col min="12799" max="12799" width="21.625" style="3" customWidth="1"/>
    <col min="12800" max="12800" width="17.5" style="3" customWidth="1"/>
    <col min="12801" max="12801" width="19.125" style="3" customWidth="1"/>
    <col min="12802" max="12802" width="7.75" style="3" customWidth="1"/>
    <col min="12803" max="12803" width="8.875" style="3" customWidth="1"/>
    <col min="12804" max="12804" width="7.875" style="3" customWidth="1"/>
    <col min="12805" max="12806" width="8.75" style="3" customWidth="1"/>
    <col min="12807" max="12807" width="17.125" style="3" customWidth="1"/>
    <col min="12808" max="12821" width="0" style="3" hidden="1" customWidth="1"/>
    <col min="12822" max="13052" width="9" style="3"/>
    <col min="13053" max="13053" width="0" style="3" hidden="1" customWidth="1"/>
    <col min="13054" max="13054" width="5.75" style="3" customWidth="1"/>
    <col min="13055" max="13055" width="21.625" style="3" customWidth="1"/>
    <col min="13056" max="13056" width="17.5" style="3" customWidth="1"/>
    <col min="13057" max="13057" width="19.125" style="3" customWidth="1"/>
    <col min="13058" max="13058" width="7.75" style="3" customWidth="1"/>
    <col min="13059" max="13059" width="8.875" style="3" customWidth="1"/>
    <col min="13060" max="13060" width="7.875" style="3" customWidth="1"/>
    <col min="13061" max="13062" width="8.75" style="3" customWidth="1"/>
    <col min="13063" max="13063" width="17.125" style="3" customWidth="1"/>
    <col min="13064" max="13077" width="0" style="3" hidden="1" customWidth="1"/>
    <col min="13078" max="13308" width="9" style="3"/>
    <col min="13309" max="13309" width="0" style="3" hidden="1" customWidth="1"/>
    <col min="13310" max="13310" width="5.75" style="3" customWidth="1"/>
    <col min="13311" max="13311" width="21.625" style="3" customWidth="1"/>
    <col min="13312" max="13312" width="17.5" style="3" customWidth="1"/>
    <col min="13313" max="13313" width="19.125" style="3" customWidth="1"/>
    <col min="13314" max="13314" width="7.75" style="3" customWidth="1"/>
    <col min="13315" max="13315" width="8.875" style="3" customWidth="1"/>
    <col min="13316" max="13316" width="7.875" style="3" customWidth="1"/>
    <col min="13317" max="13318" width="8.75" style="3" customWidth="1"/>
    <col min="13319" max="13319" width="17.125" style="3" customWidth="1"/>
    <col min="13320" max="13333" width="0" style="3" hidden="1" customWidth="1"/>
    <col min="13334" max="13564" width="9" style="3"/>
    <col min="13565" max="13565" width="0" style="3" hidden="1" customWidth="1"/>
    <col min="13566" max="13566" width="5.75" style="3" customWidth="1"/>
    <col min="13567" max="13567" width="21.625" style="3" customWidth="1"/>
    <col min="13568" max="13568" width="17.5" style="3" customWidth="1"/>
    <col min="13569" max="13569" width="19.125" style="3" customWidth="1"/>
    <col min="13570" max="13570" width="7.75" style="3" customWidth="1"/>
    <col min="13571" max="13571" width="8.875" style="3" customWidth="1"/>
    <col min="13572" max="13572" width="7.875" style="3" customWidth="1"/>
    <col min="13573" max="13574" width="8.75" style="3" customWidth="1"/>
    <col min="13575" max="13575" width="17.125" style="3" customWidth="1"/>
    <col min="13576" max="13589" width="0" style="3" hidden="1" customWidth="1"/>
    <col min="13590" max="13820" width="9" style="3"/>
    <col min="13821" max="13821" width="0" style="3" hidden="1" customWidth="1"/>
    <col min="13822" max="13822" width="5.75" style="3" customWidth="1"/>
    <col min="13823" max="13823" width="21.625" style="3" customWidth="1"/>
    <col min="13824" max="13824" width="17.5" style="3" customWidth="1"/>
    <col min="13825" max="13825" width="19.125" style="3" customWidth="1"/>
    <col min="13826" max="13826" width="7.75" style="3" customWidth="1"/>
    <col min="13827" max="13827" width="8.875" style="3" customWidth="1"/>
    <col min="13828" max="13828" width="7.875" style="3" customWidth="1"/>
    <col min="13829" max="13830" width="8.75" style="3" customWidth="1"/>
    <col min="13831" max="13831" width="17.125" style="3" customWidth="1"/>
    <col min="13832" max="13845" width="0" style="3" hidden="1" customWidth="1"/>
    <col min="13846" max="14076" width="9" style="3"/>
    <col min="14077" max="14077" width="0" style="3" hidden="1" customWidth="1"/>
    <col min="14078" max="14078" width="5.75" style="3" customWidth="1"/>
    <col min="14079" max="14079" width="21.625" style="3" customWidth="1"/>
    <col min="14080" max="14080" width="17.5" style="3" customWidth="1"/>
    <col min="14081" max="14081" width="19.125" style="3" customWidth="1"/>
    <col min="14082" max="14082" width="7.75" style="3" customWidth="1"/>
    <col min="14083" max="14083" width="8.875" style="3" customWidth="1"/>
    <col min="14084" max="14084" width="7.875" style="3" customWidth="1"/>
    <col min="14085" max="14086" width="8.75" style="3" customWidth="1"/>
    <col min="14087" max="14087" width="17.125" style="3" customWidth="1"/>
    <col min="14088" max="14101" width="0" style="3" hidden="1" customWidth="1"/>
    <col min="14102" max="14332" width="9" style="3"/>
    <col min="14333" max="14333" width="0" style="3" hidden="1" customWidth="1"/>
    <col min="14334" max="14334" width="5.75" style="3" customWidth="1"/>
    <col min="14335" max="14335" width="21.625" style="3" customWidth="1"/>
    <col min="14336" max="14336" width="17.5" style="3" customWidth="1"/>
    <col min="14337" max="14337" width="19.125" style="3" customWidth="1"/>
    <col min="14338" max="14338" width="7.75" style="3" customWidth="1"/>
    <col min="14339" max="14339" width="8.875" style="3" customWidth="1"/>
    <col min="14340" max="14340" width="7.875" style="3" customWidth="1"/>
    <col min="14341" max="14342" width="8.75" style="3" customWidth="1"/>
    <col min="14343" max="14343" width="17.125" style="3" customWidth="1"/>
    <col min="14344" max="14357" width="0" style="3" hidden="1" customWidth="1"/>
    <col min="14358" max="14588" width="9" style="3"/>
    <col min="14589" max="14589" width="0" style="3" hidden="1" customWidth="1"/>
    <col min="14590" max="14590" width="5.75" style="3" customWidth="1"/>
    <col min="14591" max="14591" width="21.625" style="3" customWidth="1"/>
    <col min="14592" max="14592" width="17.5" style="3" customWidth="1"/>
    <col min="14593" max="14593" width="19.125" style="3" customWidth="1"/>
    <col min="14594" max="14594" width="7.75" style="3" customWidth="1"/>
    <col min="14595" max="14595" width="8.875" style="3" customWidth="1"/>
    <col min="14596" max="14596" width="7.875" style="3" customWidth="1"/>
    <col min="14597" max="14598" width="8.75" style="3" customWidth="1"/>
    <col min="14599" max="14599" width="17.125" style="3" customWidth="1"/>
    <col min="14600" max="14613" width="0" style="3" hidden="1" customWidth="1"/>
    <col min="14614" max="14844" width="9" style="3"/>
    <col min="14845" max="14845" width="0" style="3" hidden="1" customWidth="1"/>
    <col min="14846" max="14846" width="5.75" style="3" customWidth="1"/>
    <col min="14847" max="14847" width="21.625" style="3" customWidth="1"/>
    <col min="14848" max="14848" width="17.5" style="3" customWidth="1"/>
    <col min="14849" max="14849" width="19.125" style="3" customWidth="1"/>
    <col min="14850" max="14850" width="7.75" style="3" customWidth="1"/>
    <col min="14851" max="14851" width="8.875" style="3" customWidth="1"/>
    <col min="14852" max="14852" width="7.875" style="3" customWidth="1"/>
    <col min="14853" max="14854" width="8.75" style="3" customWidth="1"/>
    <col min="14855" max="14855" width="17.125" style="3" customWidth="1"/>
    <col min="14856" max="14869" width="0" style="3" hidden="1" customWidth="1"/>
    <col min="14870" max="15100" width="9" style="3"/>
    <col min="15101" max="15101" width="0" style="3" hidden="1" customWidth="1"/>
    <col min="15102" max="15102" width="5.75" style="3" customWidth="1"/>
    <col min="15103" max="15103" width="21.625" style="3" customWidth="1"/>
    <col min="15104" max="15104" width="17.5" style="3" customWidth="1"/>
    <col min="15105" max="15105" width="19.125" style="3" customWidth="1"/>
    <col min="15106" max="15106" width="7.75" style="3" customWidth="1"/>
    <col min="15107" max="15107" width="8.875" style="3" customWidth="1"/>
    <col min="15108" max="15108" width="7.875" style="3" customWidth="1"/>
    <col min="15109" max="15110" width="8.75" style="3" customWidth="1"/>
    <col min="15111" max="15111" width="17.125" style="3" customWidth="1"/>
    <col min="15112" max="15125" width="0" style="3" hidden="1" customWidth="1"/>
    <col min="15126" max="15356" width="9" style="3"/>
    <col min="15357" max="15357" width="0" style="3" hidden="1" customWidth="1"/>
    <col min="15358" max="15358" width="5.75" style="3" customWidth="1"/>
    <col min="15359" max="15359" width="21.625" style="3" customWidth="1"/>
    <col min="15360" max="15360" width="17.5" style="3" customWidth="1"/>
    <col min="15361" max="15361" width="19.125" style="3" customWidth="1"/>
    <col min="15362" max="15362" width="7.75" style="3" customWidth="1"/>
    <col min="15363" max="15363" width="8.875" style="3" customWidth="1"/>
    <col min="15364" max="15364" width="7.875" style="3" customWidth="1"/>
    <col min="15365" max="15366" width="8.75" style="3" customWidth="1"/>
    <col min="15367" max="15367" width="17.125" style="3" customWidth="1"/>
    <col min="15368" max="15381" width="0" style="3" hidden="1" customWidth="1"/>
    <col min="15382" max="15612" width="9" style="3"/>
    <col min="15613" max="15613" width="0" style="3" hidden="1" customWidth="1"/>
    <col min="15614" max="15614" width="5.75" style="3" customWidth="1"/>
    <col min="15615" max="15615" width="21.625" style="3" customWidth="1"/>
    <col min="15616" max="15616" width="17.5" style="3" customWidth="1"/>
    <col min="15617" max="15617" width="19.125" style="3" customWidth="1"/>
    <col min="15618" max="15618" width="7.75" style="3" customWidth="1"/>
    <col min="15619" max="15619" width="8.875" style="3" customWidth="1"/>
    <col min="15620" max="15620" width="7.875" style="3" customWidth="1"/>
    <col min="15621" max="15622" width="8.75" style="3" customWidth="1"/>
    <col min="15623" max="15623" width="17.125" style="3" customWidth="1"/>
    <col min="15624" max="15637" width="0" style="3" hidden="1" customWidth="1"/>
    <col min="15638" max="15868" width="9" style="3"/>
    <col min="15869" max="15869" width="0" style="3" hidden="1" customWidth="1"/>
    <col min="15870" max="15870" width="5.75" style="3" customWidth="1"/>
    <col min="15871" max="15871" width="21.625" style="3" customWidth="1"/>
    <col min="15872" max="15872" width="17.5" style="3" customWidth="1"/>
    <col min="15873" max="15873" width="19.125" style="3" customWidth="1"/>
    <col min="15874" max="15874" width="7.75" style="3" customWidth="1"/>
    <col min="15875" max="15875" width="8.875" style="3" customWidth="1"/>
    <col min="15876" max="15876" width="7.875" style="3" customWidth="1"/>
    <col min="15877" max="15878" width="8.75" style="3" customWidth="1"/>
    <col min="15879" max="15879" width="17.125" style="3" customWidth="1"/>
    <col min="15880" max="15893" width="0" style="3" hidden="1" customWidth="1"/>
    <col min="15894" max="16124" width="9" style="3"/>
    <col min="16125" max="16125" width="0" style="3" hidden="1" customWidth="1"/>
    <col min="16126" max="16126" width="5.75" style="3" customWidth="1"/>
    <col min="16127" max="16127" width="21.625" style="3" customWidth="1"/>
    <col min="16128" max="16128" width="17.5" style="3" customWidth="1"/>
    <col min="16129" max="16129" width="19.125" style="3" customWidth="1"/>
    <col min="16130" max="16130" width="7.75" style="3" customWidth="1"/>
    <col min="16131" max="16131" width="8.875" style="3" customWidth="1"/>
    <col min="16132" max="16132" width="7.875" style="3" customWidth="1"/>
    <col min="16133" max="16134" width="8.75" style="3" customWidth="1"/>
    <col min="16135" max="16135" width="17.125" style="3" customWidth="1"/>
    <col min="16136" max="16149" width="0" style="3" hidden="1" customWidth="1"/>
    <col min="16150" max="16384" width="9" style="3"/>
  </cols>
  <sheetData>
    <row r="1" spans="1:27" s="12" customFormat="1" ht="24" customHeight="1" x14ac:dyDescent="0.25">
      <c r="A1" s="11"/>
      <c r="B1" s="187" t="s">
        <v>534</v>
      </c>
      <c r="C1" s="187"/>
      <c r="D1" s="187"/>
      <c r="E1" s="187"/>
      <c r="F1" s="187"/>
      <c r="G1" s="187"/>
      <c r="H1" s="4"/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12" customFormat="1" ht="28.5" customHeight="1" thickBot="1" x14ac:dyDescent="0.3">
      <c r="A2" s="11"/>
      <c r="B2" s="188" t="s">
        <v>6</v>
      </c>
      <c r="C2" s="188"/>
      <c r="D2" s="188"/>
      <c r="E2" s="188"/>
      <c r="F2" s="188"/>
      <c r="G2" s="188"/>
      <c r="H2" s="13"/>
      <c r="I2" s="13"/>
      <c r="J2" s="13"/>
      <c r="K2" s="13"/>
      <c r="L2" s="13"/>
      <c r="M2" s="13"/>
      <c r="N2" s="13"/>
      <c r="O2" s="13"/>
      <c r="P2" s="13"/>
      <c r="Q2" s="14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12" customFormat="1" ht="28.5" customHeight="1" thickBot="1" x14ac:dyDescent="0.3">
      <c r="A3" s="11"/>
      <c r="B3" s="261" t="s">
        <v>547</v>
      </c>
      <c r="C3" s="261" t="s">
        <v>548</v>
      </c>
      <c r="D3" s="263" t="s">
        <v>549</v>
      </c>
      <c r="E3" s="264"/>
      <c r="F3" s="250" t="s">
        <v>550</v>
      </c>
      <c r="G3" s="261" t="s">
        <v>551</v>
      </c>
      <c r="H3" s="13"/>
      <c r="I3" s="13"/>
      <c r="J3" s="13"/>
      <c r="K3" s="13"/>
      <c r="L3" s="13"/>
      <c r="M3" s="13"/>
      <c r="N3" s="13"/>
      <c r="O3" s="13"/>
      <c r="P3" s="13"/>
      <c r="Q3" s="14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s="12" customFormat="1" ht="28.5" customHeight="1" thickBot="1" x14ac:dyDescent="0.3">
      <c r="A4" s="11"/>
      <c r="B4" s="262"/>
      <c r="C4" s="262"/>
      <c r="D4" s="251" t="s">
        <v>11</v>
      </c>
      <c r="E4" s="252" t="s">
        <v>552</v>
      </c>
      <c r="F4" s="251" t="s">
        <v>553</v>
      </c>
      <c r="G4" s="262"/>
      <c r="H4" s="13"/>
      <c r="I4" s="13"/>
      <c r="J4" s="13"/>
      <c r="K4" s="13"/>
      <c r="L4" s="13"/>
      <c r="M4" s="13"/>
      <c r="N4" s="13"/>
      <c r="O4" s="13"/>
      <c r="P4" s="13"/>
      <c r="Q4" s="14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s="12" customFormat="1" ht="28.5" customHeight="1" thickBot="1" x14ac:dyDescent="0.25">
      <c r="A5" s="11"/>
      <c r="B5" s="253" t="s">
        <v>18</v>
      </c>
      <c r="C5" s="254" t="s">
        <v>554</v>
      </c>
      <c r="D5" s="255"/>
      <c r="E5" s="256"/>
      <c r="F5" s="257">
        <v>5</v>
      </c>
      <c r="G5" s="258"/>
      <c r="H5" s="13"/>
      <c r="I5" s="13"/>
      <c r="J5" s="13"/>
      <c r="K5" s="13"/>
      <c r="L5" s="13"/>
      <c r="M5" s="13"/>
      <c r="N5" s="13"/>
      <c r="O5" s="13"/>
      <c r="P5" s="13"/>
      <c r="Q5" s="14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s="12" customFormat="1" ht="28.5" customHeight="1" thickBot="1" x14ac:dyDescent="0.3">
      <c r="A6" s="11"/>
      <c r="B6" s="259">
        <v>1</v>
      </c>
      <c r="C6" s="258" t="s">
        <v>555</v>
      </c>
      <c r="D6" s="255"/>
      <c r="E6" s="260">
        <v>43200</v>
      </c>
      <c r="F6" s="257">
        <v>5</v>
      </c>
      <c r="G6" s="257" t="s">
        <v>556</v>
      </c>
      <c r="H6" s="13"/>
      <c r="I6" s="13"/>
      <c r="J6" s="13"/>
      <c r="K6" s="13"/>
      <c r="L6" s="13"/>
      <c r="M6" s="13"/>
      <c r="N6" s="13"/>
      <c r="O6" s="13"/>
      <c r="P6" s="13"/>
      <c r="Q6" s="14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s="12" customFormat="1" ht="28.5" customHeight="1" x14ac:dyDescent="0.25">
      <c r="A7" s="11"/>
      <c r="B7" s="14"/>
      <c r="C7" s="14"/>
      <c r="D7" s="14"/>
      <c r="E7" s="14"/>
      <c r="F7" s="14"/>
      <c r="G7" s="14"/>
      <c r="H7" s="13"/>
      <c r="I7" s="13"/>
      <c r="J7" s="13"/>
      <c r="K7" s="13"/>
      <c r="L7" s="13"/>
      <c r="M7" s="13"/>
      <c r="N7" s="13"/>
      <c r="O7" s="13"/>
      <c r="P7" s="13"/>
      <c r="Q7" s="14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s="12" customFormat="1" ht="28.5" customHeight="1" x14ac:dyDescent="0.25">
      <c r="A8" s="11"/>
      <c r="B8" s="14"/>
      <c r="C8" s="14"/>
      <c r="D8" s="14"/>
      <c r="E8" s="14"/>
      <c r="F8" s="14"/>
      <c r="G8" s="14"/>
      <c r="H8" s="13"/>
      <c r="I8" s="13"/>
      <c r="J8" s="13"/>
      <c r="K8" s="13"/>
      <c r="L8" s="13"/>
      <c r="M8" s="13"/>
      <c r="N8" s="13"/>
      <c r="O8" s="13"/>
      <c r="P8" s="13"/>
      <c r="Q8" s="14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s="12" customFormat="1" ht="28.5" customHeight="1" x14ac:dyDescent="0.25">
      <c r="A9" s="11"/>
      <c r="B9" s="14"/>
      <c r="C9" s="14"/>
      <c r="D9" s="14"/>
      <c r="E9" s="14"/>
      <c r="F9" s="14"/>
      <c r="G9" s="14"/>
      <c r="H9" s="13"/>
      <c r="I9" s="13"/>
      <c r="J9" s="13"/>
      <c r="K9" s="13"/>
      <c r="L9" s="13"/>
      <c r="M9" s="13"/>
      <c r="N9" s="13"/>
      <c r="O9" s="13"/>
      <c r="P9" s="13"/>
      <c r="Q9" s="14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s="12" customFormat="1" ht="28.5" customHeight="1" x14ac:dyDescent="0.25">
      <c r="A10" s="11"/>
      <c r="B10" s="14"/>
      <c r="C10" s="14"/>
      <c r="D10" s="14"/>
      <c r="E10" s="14"/>
      <c r="F10" s="14"/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s="12" customFormat="1" ht="19.5" thickBot="1" x14ac:dyDescent="0.3">
      <c r="A11" s="11"/>
      <c r="B11" s="14"/>
      <c r="C11" s="14"/>
      <c r="D11" s="14"/>
      <c r="E11" s="14"/>
      <c r="F11" s="14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25.5" customHeight="1" x14ac:dyDescent="0.25">
      <c r="B12" s="189" t="s">
        <v>7</v>
      </c>
      <c r="C12" s="191" t="s">
        <v>8</v>
      </c>
      <c r="D12" s="195" t="s">
        <v>11</v>
      </c>
      <c r="E12" s="191" t="s">
        <v>12</v>
      </c>
      <c r="F12" s="265" t="s">
        <v>550</v>
      </c>
      <c r="G12" s="193" t="s">
        <v>10</v>
      </c>
      <c r="H12" s="15"/>
      <c r="I12" s="16"/>
      <c r="J12" s="16"/>
      <c r="K12" s="16"/>
      <c r="L12" s="16"/>
      <c r="M12" s="15"/>
      <c r="N12" s="16"/>
      <c r="O12" s="16"/>
    </row>
    <row r="13" spans="1:27" ht="36.75" customHeight="1" x14ac:dyDescent="0.25">
      <c r="B13" s="190"/>
      <c r="C13" s="192"/>
      <c r="D13" s="195"/>
      <c r="E13" s="192"/>
      <c r="F13" s="266"/>
      <c r="G13" s="194"/>
      <c r="H13" s="15"/>
      <c r="I13" s="16"/>
      <c r="J13" s="16"/>
      <c r="K13" s="16"/>
      <c r="L13" s="16"/>
      <c r="M13" s="15"/>
      <c r="N13" s="16"/>
      <c r="O13" s="16"/>
    </row>
    <row r="14" spans="1:27" s="2" customFormat="1" x14ac:dyDescent="0.25">
      <c r="A14" s="18"/>
      <c r="B14" s="115" t="s">
        <v>18</v>
      </c>
      <c r="C14" s="116" t="s">
        <v>513</v>
      </c>
      <c r="D14" s="117">
        <f>SUM(D15:D25)</f>
        <v>66</v>
      </c>
      <c r="E14" s="117"/>
      <c r="F14" s="116"/>
      <c r="G14" s="115"/>
      <c r="H14" s="23" t="e">
        <f>+#REF!+#REF!+#REF!</f>
        <v>#REF!</v>
      </c>
      <c r="I14" s="23" t="e">
        <f>+#REF!+#REF!+#REF!</f>
        <v>#REF!</v>
      </c>
      <c r="J14" s="23" t="e">
        <f>+#REF!+#REF!+#REF!</f>
        <v>#REF!</v>
      </c>
      <c r="K14" s="24"/>
      <c r="L14" s="24"/>
      <c r="M14" s="23" t="e">
        <f>+#REF!+#REF!+#REF!</f>
        <v>#REF!</v>
      </c>
      <c r="N14" s="24"/>
      <c r="O14" s="24"/>
      <c r="S14"/>
    </row>
    <row r="15" spans="1:27" x14ac:dyDescent="0.25">
      <c r="A15" s="1">
        <f>IF(B15&gt;0,SUM(MAX($A$14:A14),1),0)</f>
        <v>1</v>
      </c>
      <c r="B15" s="120">
        <v>1</v>
      </c>
      <c r="C15" s="121" t="s">
        <v>35</v>
      </c>
      <c r="D15" s="120">
        <v>24</v>
      </c>
      <c r="E15" s="123">
        <v>1100</v>
      </c>
      <c r="F15" s="121"/>
      <c r="G15" s="122" t="s">
        <v>37</v>
      </c>
      <c r="H15" s="15"/>
      <c r="I15" s="16"/>
      <c r="J15" s="16"/>
      <c r="K15" s="16"/>
      <c r="L15" s="16"/>
      <c r="M15" s="15" t="e">
        <f>#REF!*#REF!</f>
        <v>#REF!</v>
      </c>
      <c r="N15" s="16"/>
      <c r="O15" s="16"/>
      <c r="Q15" s="159">
        <v>22</v>
      </c>
      <c r="R15" s="159">
        <v>12</v>
      </c>
      <c r="S15" s="159">
        <v>8</v>
      </c>
      <c r="T15" s="159">
        <v>4</v>
      </c>
      <c r="U15" s="159" t="s">
        <v>541</v>
      </c>
      <c r="V15" s="159" t="s">
        <v>542</v>
      </c>
      <c r="W15" s="159">
        <v>1</v>
      </c>
      <c r="X15" s="159" t="s">
        <v>543</v>
      </c>
    </row>
    <row r="16" spans="1:27" x14ac:dyDescent="0.25">
      <c r="A16" s="1" t="e">
        <f ca="1">IF(B16&gt;0,SUM(MAX($A$14:A17),1),0)</f>
        <v>#REF!</v>
      </c>
      <c r="B16" s="120">
        <v>2</v>
      </c>
      <c r="C16" s="121" t="s">
        <v>44</v>
      </c>
      <c r="D16" s="120">
        <v>3</v>
      </c>
      <c r="E16" s="123">
        <v>980</v>
      </c>
      <c r="F16" s="121"/>
      <c r="G16" s="126" t="s">
        <v>26</v>
      </c>
      <c r="H16" s="15"/>
      <c r="I16" s="16"/>
      <c r="J16" s="16"/>
      <c r="K16" s="16"/>
      <c r="L16" s="16"/>
      <c r="M16" s="15" t="e">
        <f>#REF!*#REF!</f>
        <v>#REF!</v>
      </c>
      <c r="N16" s="16"/>
      <c r="O16" s="16"/>
    </row>
    <row r="17" spans="1:17" x14ac:dyDescent="0.25">
      <c r="A17" s="1" t="e">
        <f ca="1">IF(B17&gt;0,SUM(MAX($A$14:A22),1),0)</f>
        <v>#REF!</v>
      </c>
      <c r="B17" s="120">
        <v>3</v>
      </c>
      <c r="C17" s="121" t="s">
        <v>41</v>
      </c>
      <c r="D17" s="120">
        <v>14</v>
      </c>
      <c r="E17" s="123">
        <v>2500</v>
      </c>
      <c r="F17" s="121"/>
      <c r="G17" s="126" t="s">
        <v>26</v>
      </c>
      <c r="H17" s="15"/>
      <c r="I17" s="16"/>
      <c r="J17" s="16"/>
      <c r="K17" s="16"/>
      <c r="L17" s="16"/>
      <c r="M17" s="15" t="e">
        <f>#REF!*#REF!</f>
        <v>#REF!</v>
      </c>
      <c r="N17" s="16"/>
      <c r="O17" s="16"/>
    </row>
    <row r="18" spans="1:17" x14ac:dyDescent="0.25">
      <c r="A18" s="1" t="e">
        <f ca="1">IF(B18&gt;0,SUM(MAX($A$14:A23),1),0)</f>
        <v>#REF!</v>
      </c>
      <c r="B18" s="120">
        <v>4</v>
      </c>
      <c r="C18" s="121" t="s">
        <v>55</v>
      </c>
      <c r="D18" s="120">
        <v>5</v>
      </c>
      <c r="E18" s="123">
        <v>2500</v>
      </c>
      <c r="F18" s="121"/>
      <c r="G18" s="126" t="s">
        <v>26</v>
      </c>
      <c r="H18" s="15"/>
      <c r="I18" s="16"/>
      <c r="J18" s="16"/>
      <c r="K18" s="16"/>
      <c r="L18" s="16"/>
      <c r="M18" s="15" t="e">
        <f>#REF!*#REF!</f>
        <v>#REF!</v>
      </c>
      <c r="N18" s="16"/>
      <c r="O18" s="16"/>
    </row>
    <row r="19" spans="1:17" x14ac:dyDescent="0.25">
      <c r="A19" s="1" t="e">
        <f ca="1">IF(B19&gt;0,SUM(MAX($A$14:A17),1),0)</f>
        <v>#REF!</v>
      </c>
      <c r="B19" s="238">
        <f>SUM(MAX($B$15:B18),1)</f>
        <v>5</v>
      </c>
      <c r="C19" s="242" t="s">
        <v>47</v>
      </c>
      <c r="D19" s="120">
        <v>4</v>
      </c>
      <c r="E19" s="123">
        <v>4000</v>
      </c>
      <c r="F19" s="121"/>
      <c r="G19" s="239" t="s">
        <v>26</v>
      </c>
      <c r="H19" s="15"/>
      <c r="I19" s="16"/>
      <c r="J19" s="16"/>
      <c r="K19" s="16"/>
      <c r="L19" s="16"/>
      <c r="M19" s="15" t="e">
        <f>#REF!*#REF!+#REF!*#REF!+#REF!*#REF!</f>
        <v>#REF!</v>
      </c>
      <c r="N19" s="16"/>
      <c r="O19" s="16"/>
    </row>
    <row r="20" spans="1:17" ht="16.5" customHeight="1" x14ac:dyDescent="0.25">
      <c r="B20" s="238"/>
      <c r="C20" s="242"/>
      <c r="D20" s="120">
        <v>1</v>
      </c>
      <c r="E20" s="123">
        <v>1950</v>
      </c>
      <c r="F20" s="121"/>
      <c r="G20" s="239"/>
      <c r="H20" s="15"/>
      <c r="I20" s="16"/>
      <c r="J20" s="16"/>
      <c r="K20" s="16"/>
      <c r="L20" s="16"/>
      <c r="M20" s="15"/>
      <c r="N20" s="16"/>
      <c r="O20" s="16"/>
      <c r="Q20" s="3"/>
    </row>
    <row r="21" spans="1:17" ht="27" customHeight="1" x14ac:dyDescent="0.25">
      <c r="B21" s="120"/>
      <c r="C21" s="121" t="s">
        <v>494</v>
      </c>
      <c r="D21" s="120">
        <v>2</v>
      </c>
      <c r="E21" s="123">
        <v>980</v>
      </c>
      <c r="F21" s="121"/>
      <c r="G21" s="126" t="s">
        <v>26</v>
      </c>
      <c r="H21" s="15"/>
      <c r="I21" s="16"/>
      <c r="J21" s="16"/>
      <c r="K21" s="16"/>
      <c r="L21" s="16"/>
      <c r="M21" s="15"/>
      <c r="N21" s="16"/>
      <c r="O21" s="16"/>
    </row>
    <row r="22" spans="1:17" ht="33" x14ac:dyDescent="0.25">
      <c r="A22" s="1">
        <f>IF(B22&gt;0,SUM(MAX($A$14:A15),1),0)</f>
        <v>2</v>
      </c>
      <c r="B22" s="120">
        <f>B19+1</f>
        <v>6</v>
      </c>
      <c r="C22" s="121" t="s">
        <v>39</v>
      </c>
      <c r="D22" s="120">
        <v>3</v>
      </c>
      <c r="E22" s="123">
        <v>2500</v>
      </c>
      <c r="F22" s="121"/>
      <c r="G22" s="120" t="s">
        <v>520</v>
      </c>
      <c r="H22" s="15"/>
      <c r="I22" s="16"/>
      <c r="J22" s="16"/>
      <c r="K22" s="16"/>
      <c r="L22" s="16"/>
      <c r="M22" s="15" t="e">
        <f>#REF!*#REF!</f>
        <v>#REF!</v>
      </c>
      <c r="N22" s="16"/>
      <c r="O22" s="16"/>
      <c r="Q22" s="3"/>
    </row>
    <row r="23" spans="1:17" x14ac:dyDescent="0.25">
      <c r="A23" s="1" t="e">
        <f ca="1">IF(B23&gt;0,SUM(MAX($A$14:A19),1),0)</f>
        <v>#REF!</v>
      </c>
      <c r="B23" s="120">
        <f>B22+1</f>
        <v>7</v>
      </c>
      <c r="C23" s="121" t="s">
        <v>52</v>
      </c>
      <c r="D23" s="120">
        <v>3</v>
      </c>
      <c r="E23" s="123">
        <v>1120</v>
      </c>
      <c r="F23" s="121"/>
      <c r="G23" s="126" t="s">
        <v>54</v>
      </c>
      <c r="H23" s="15"/>
      <c r="I23" s="16"/>
      <c r="J23" s="16"/>
      <c r="K23" s="16"/>
      <c r="L23" s="16"/>
      <c r="M23" s="15" t="e">
        <f>#REF!*#REF!</f>
        <v>#REF!</v>
      </c>
      <c r="N23" s="16"/>
      <c r="O23" s="16"/>
      <c r="Q23" s="3"/>
    </row>
    <row r="24" spans="1:17" x14ac:dyDescent="0.25">
      <c r="A24" s="1" t="e">
        <f ca="1">IF(B24&gt;0,SUM(MAX($A$14:A25),1),0)</f>
        <v>#REF!</v>
      </c>
      <c r="B24" s="120">
        <f>B23+1</f>
        <v>8</v>
      </c>
      <c r="C24" s="121" t="s">
        <v>60</v>
      </c>
      <c r="D24" s="120">
        <v>4</v>
      </c>
      <c r="E24" s="125">
        <v>2500</v>
      </c>
      <c r="F24" s="121"/>
      <c r="G24" s="128" t="s">
        <v>26</v>
      </c>
      <c r="H24" s="15"/>
      <c r="I24" s="16"/>
      <c r="J24" s="16"/>
      <c r="K24" s="16"/>
      <c r="L24" s="16"/>
      <c r="M24" s="15" t="e">
        <f>#REF!*#REF!</f>
        <v>#REF!</v>
      </c>
      <c r="N24" s="16"/>
      <c r="O24" s="16"/>
    </row>
    <row r="25" spans="1:17" ht="33" x14ac:dyDescent="0.25">
      <c r="A25" s="1" t="e">
        <f ca="1">IF(B25&gt;0,SUM(MAX($A$14:A23),1),0)</f>
        <v>#REF!</v>
      </c>
      <c r="B25" s="120">
        <f>B24+1</f>
        <v>9</v>
      </c>
      <c r="C25" s="121" t="s">
        <v>58</v>
      </c>
      <c r="D25" s="120">
        <v>3</v>
      </c>
      <c r="E25" s="125">
        <v>2500</v>
      </c>
      <c r="F25" s="121"/>
      <c r="G25" s="120" t="s">
        <v>520</v>
      </c>
      <c r="H25" s="15"/>
      <c r="I25" s="16"/>
      <c r="J25" s="16"/>
      <c r="K25" s="16"/>
      <c r="L25" s="16"/>
      <c r="M25" s="15" t="e">
        <f>#REF!*#REF!</f>
        <v>#REF!</v>
      </c>
      <c r="N25" s="16"/>
      <c r="O25" s="16"/>
      <c r="Q25" s="3"/>
    </row>
    <row r="26" spans="1:17" s="2" customFormat="1" x14ac:dyDescent="0.25">
      <c r="A26" s="1"/>
      <c r="B26" s="129" t="s">
        <v>63</v>
      </c>
      <c r="C26" s="130" t="s">
        <v>530</v>
      </c>
      <c r="D26" s="132">
        <f>SUM(D27:D64)</f>
        <v>137</v>
      </c>
      <c r="E26" s="125"/>
      <c r="F26" s="130"/>
      <c r="G26" s="131"/>
      <c r="H26" s="23" t="e">
        <f>+#REF!+#REF!+#REF!</f>
        <v>#REF!</v>
      </c>
      <c r="I26" s="23" t="e">
        <f>+#REF!+#REF!+#REF!</f>
        <v>#REF!</v>
      </c>
      <c r="J26" s="23" t="e">
        <f>+#REF!+#REF!+#REF!</f>
        <v>#REF!</v>
      </c>
      <c r="K26" s="24"/>
      <c r="L26" s="24"/>
      <c r="M26" s="23" t="e">
        <f>+#REF!+#REF!+#REF!</f>
        <v>#REF!</v>
      </c>
      <c r="N26" s="24"/>
      <c r="O26" s="24"/>
    </row>
    <row r="27" spans="1:17" x14ac:dyDescent="0.25">
      <c r="A27" s="1" t="e">
        <f ca="1">IF(B27&gt;0,SUM(MAX($A$14:A26),1),0)</f>
        <v>#REF!</v>
      </c>
      <c r="B27" s="120">
        <v>1</v>
      </c>
      <c r="C27" s="121" t="s">
        <v>84</v>
      </c>
      <c r="D27" s="120">
        <v>5</v>
      </c>
      <c r="E27" s="123">
        <v>3700</v>
      </c>
      <c r="F27" s="121"/>
      <c r="G27" s="126" t="s">
        <v>26</v>
      </c>
      <c r="H27" s="15"/>
      <c r="I27" s="16"/>
      <c r="J27" s="16"/>
      <c r="K27" s="16"/>
      <c r="L27" s="16"/>
      <c r="M27" s="15" t="e">
        <f>#REF!*#REF!</f>
        <v>#REF!</v>
      </c>
      <c r="N27" s="16"/>
      <c r="O27" s="16"/>
    </row>
    <row r="28" spans="1:17" x14ac:dyDescent="0.25">
      <c r="A28" s="1" t="e">
        <f ca="1">IF(B28&gt;0,SUM(MAX($A$14:A30),1),0)</f>
        <v>#REF!</v>
      </c>
      <c r="B28" s="120">
        <f t="shared" ref="B28:B35" si="0">B27+1</f>
        <v>2</v>
      </c>
      <c r="C28" s="121" t="s">
        <v>92</v>
      </c>
      <c r="D28" s="120">
        <v>3</v>
      </c>
      <c r="E28" s="123">
        <v>2500</v>
      </c>
      <c r="F28" s="121"/>
      <c r="G28" s="126" t="s">
        <v>26</v>
      </c>
      <c r="H28" s="15"/>
      <c r="I28" s="16"/>
      <c r="J28" s="16"/>
      <c r="K28" s="16"/>
      <c r="L28" s="16"/>
      <c r="M28" s="15" t="e">
        <f>#REF!*#REF!</f>
        <v>#REF!</v>
      </c>
      <c r="N28" s="16"/>
      <c r="O28" s="16"/>
    </row>
    <row r="29" spans="1:17" x14ac:dyDescent="0.25">
      <c r="B29" s="120">
        <f t="shared" si="0"/>
        <v>3</v>
      </c>
      <c r="C29" s="121" t="s">
        <v>90</v>
      </c>
      <c r="D29" s="120">
        <v>4</v>
      </c>
      <c r="E29" s="123">
        <v>4000</v>
      </c>
      <c r="F29" s="121"/>
      <c r="G29" s="126"/>
      <c r="H29" s="15"/>
      <c r="I29" s="16"/>
      <c r="J29" s="16"/>
      <c r="K29" s="16"/>
      <c r="L29" s="16"/>
      <c r="M29" s="15"/>
      <c r="N29" s="16"/>
      <c r="O29" s="16"/>
      <c r="Q29" s="3"/>
    </row>
    <row r="30" spans="1:17" ht="28.5" customHeight="1" x14ac:dyDescent="0.25">
      <c r="A30" s="1" t="e">
        <f ca="1">IF(B29&gt;0,SUM(MAX($A$14:A27),1),0)</f>
        <v>#REF!</v>
      </c>
      <c r="B30" s="120"/>
      <c r="C30" s="121" t="s">
        <v>87</v>
      </c>
      <c r="D30" s="120">
        <v>4</v>
      </c>
      <c r="E30" s="123">
        <v>7300</v>
      </c>
      <c r="F30" s="121"/>
      <c r="G30" s="126" t="s">
        <v>26</v>
      </c>
      <c r="H30" s="15"/>
      <c r="I30" s="16"/>
      <c r="J30" s="16"/>
      <c r="K30" s="16"/>
      <c r="L30" s="16"/>
      <c r="M30" s="15" t="e">
        <f>#REF!*#REF!+#REF!*#REF!</f>
        <v>#REF!</v>
      </c>
      <c r="N30" s="16"/>
      <c r="O30" s="16"/>
    </row>
    <row r="31" spans="1:17" s="41" customFormat="1" x14ac:dyDescent="0.25">
      <c r="A31" s="1"/>
      <c r="B31" s="120">
        <f>B29+1</f>
        <v>4</v>
      </c>
      <c r="C31" s="121" t="s">
        <v>498</v>
      </c>
      <c r="D31" s="120">
        <v>10</v>
      </c>
      <c r="E31" s="123">
        <v>4000</v>
      </c>
      <c r="F31" s="121"/>
      <c r="G31" s="126" t="s">
        <v>26</v>
      </c>
      <c r="H31" s="39"/>
      <c r="I31" s="40"/>
      <c r="J31" s="40"/>
      <c r="K31" s="40"/>
      <c r="L31" s="40"/>
      <c r="M31" s="15" t="e">
        <f>#REF!*#REF!</f>
        <v>#REF!</v>
      </c>
      <c r="N31" s="40"/>
      <c r="O31" s="40"/>
      <c r="Q31" s="106"/>
    </row>
    <row r="32" spans="1:17" s="41" customFormat="1" x14ac:dyDescent="0.25">
      <c r="A32" s="1"/>
      <c r="B32" s="120">
        <f t="shared" si="0"/>
        <v>5</v>
      </c>
      <c r="C32" s="121" t="s">
        <v>496</v>
      </c>
      <c r="D32" s="120">
        <v>7</v>
      </c>
      <c r="E32" s="123">
        <v>8400</v>
      </c>
      <c r="F32" s="121"/>
      <c r="G32" s="239" t="s">
        <v>26</v>
      </c>
      <c r="H32" s="39"/>
      <c r="I32" s="40"/>
      <c r="J32" s="40"/>
      <c r="K32" s="40"/>
      <c r="L32" s="40"/>
      <c r="M32" s="15" t="e">
        <f>#REF!*#REF!+#REF!*#REF!</f>
        <v>#REF!</v>
      </c>
      <c r="N32" s="40"/>
      <c r="O32" s="40"/>
      <c r="Q32" s="106"/>
    </row>
    <row r="33" spans="1:17" s="41" customFormat="1" x14ac:dyDescent="0.25">
      <c r="A33" s="1"/>
      <c r="B33" s="120"/>
      <c r="C33" s="121" t="s">
        <v>497</v>
      </c>
      <c r="D33" s="120">
        <v>10</v>
      </c>
      <c r="E33" s="123">
        <v>4000</v>
      </c>
      <c r="F33" s="121"/>
      <c r="G33" s="239"/>
      <c r="H33" s="39"/>
      <c r="I33" s="40"/>
      <c r="J33" s="40"/>
      <c r="K33" s="40"/>
      <c r="L33" s="40"/>
      <c r="M33" s="39"/>
      <c r="N33" s="40"/>
      <c r="O33" s="40"/>
    </row>
    <row r="34" spans="1:17" x14ac:dyDescent="0.25">
      <c r="A34" s="1" t="e">
        <f ca="1">IF(B34&gt;0,SUM(MAX($A$14:A30),1),0)</f>
        <v>#REF!</v>
      </c>
      <c r="B34" s="120">
        <f>B32+1</f>
        <v>6</v>
      </c>
      <c r="C34" s="121" t="s">
        <v>97</v>
      </c>
      <c r="D34" s="120">
        <v>12</v>
      </c>
      <c r="E34" s="123">
        <v>4000</v>
      </c>
      <c r="F34" s="121"/>
      <c r="G34" s="126" t="s">
        <v>26</v>
      </c>
      <c r="H34" s="15"/>
      <c r="I34" s="16"/>
      <c r="J34" s="16"/>
      <c r="K34" s="16"/>
      <c r="L34" s="16"/>
      <c r="M34" s="15" t="e">
        <f>#REF!*#REF!</f>
        <v>#REF!</v>
      </c>
      <c r="N34" s="16"/>
      <c r="O34" s="16"/>
    </row>
    <row r="35" spans="1:17" s="41" customFormat="1" x14ac:dyDescent="0.25">
      <c r="A35" s="1"/>
      <c r="B35" s="120">
        <f t="shared" si="0"/>
        <v>7</v>
      </c>
      <c r="C35" s="121" t="s">
        <v>108</v>
      </c>
      <c r="D35" s="120">
        <v>6</v>
      </c>
      <c r="E35" s="123">
        <v>980</v>
      </c>
      <c r="F35" s="121"/>
      <c r="G35" s="126" t="s">
        <v>109</v>
      </c>
      <c r="H35" s="39"/>
      <c r="I35" s="40"/>
      <c r="J35" s="40"/>
      <c r="K35" s="40"/>
      <c r="L35" s="40"/>
      <c r="M35" s="15" t="e">
        <f>#REF!*#REF!</f>
        <v>#REF!</v>
      </c>
      <c r="N35" s="40"/>
      <c r="O35" s="40"/>
    </row>
    <row r="36" spans="1:17" x14ac:dyDescent="0.25">
      <c r="A36" s="1" t="e">
        <f ca="1">IF(B36&gt;0,SUM(MAX($A$14:A64),1),0)</f>
        <v>#REF!</v>
      </c>
      <c r="B36" s="238">
        <f>B35+1</f>
        <v>8</v>
      </c>
      <c r="C36" s="242" t="s">
        <v>144</v>
      </c>
      <c r="D36" s="120">
        <v>1</v>
      </c>
      <c r="E36" s="123">
        <v>980</v>
      </c>
      <c r="F36" s="121"/>
      <c r="G36" s="239" t="s">
        <v>26</v>
      </c>
      <c r="H36" s="15"/>
      <c r="I36" s="16"/>
      <c r="J36" s="16"/>
      <c r="K36" s="16"/>
      <c r="L36" s="16"/>
      <c r="M36" s="15" t="e">
        <f>#REF!*#REF!+#REF!*#REF!</f>
        <v>#REF!</v>
      </c>
      <c r="N36" s="16"/>
      <c r="O36" s="16"/>
    </row>
    <row r="37" spans="1:17" x14ac:dyDescent="0.25">
      <c r="A37" s="1">
        <f>IF(B37&gt;0,SUM(MAX($A$14:A36),1),0)</f>
        <v>0</v>
      </c>
      <c r="B37" s="238"/>
      <c r="C37" s="242"/>
      <c r="D37" s="120">
        <v>1</v>
      </c>
      <c r="E37" s="123">
        <v>1500</v>
      </c>
      <c r="F37" s="121"/>
      <c r="G37" s="239"/>
      <c r="H37" s="15"/>
      <c r="I37" s="16"/>
      <c r="J37" s="16"/>
      <c r="K37" s="16"/>
      <c r="L37" s="16"/>
      <c r="M37" s="15"/>
      <c r="N37" s="16"/>
      <c r="O37" s="16"/>
      <c r="Q37" s="3"/>
    </row>
    <row r="38" spans="1:17" x14ac:dyDescent="0.25">
      <c r="A38" s="1" t="e">
        <f ca="1">IF(B38&gt;0,SUM(MAX($A$14:A60),1),0)</f>
        <v>#REF!</v>
      </c>
      <c r="B38" s="238">
        <f>B36+1</f>
        <v>9</v>
      </c>
      <c r="C38" s="242" t="s">
        <v>117</v>
      </c>
      <c r="D38" s="120">
        <v>3</v>
      </c>
      <c r="E38" s="123">
        <v>980</v>
      </c>
      <c r="F38" s="121"/>
      <c r="G38" s="239" t="s">
        <v>26</v>
      </c>
      <c r="H38" s="15"/>
      <c r="I38" s="16"/>
      <c r="J38" s="16"/>
      <c r="K38" s="16"/>
      <c r="L38" s="16"/>
      <c r="M38" s="15" t="e">
        <f>#REF!*#REF!+#REF!*#REF!</f>
        <v>#REF!</v>
      </c>
      <c r="N38" s="16"/>
      <c r="O38" s="16"/>
    </row>
    <row r="39" spans="1:17" x14ac:dyDescent="0.25">
      <c r="A39" s="1">
        <f>IF(B39&gt;0,SUM(MAX($A$14:A38),1),0)</f>
        <v>0</v>
      </c>
      <c r="B39" s="238"/>
      <c r="C39" s="242"/>
      <c r="D39" s="120">
        <v>1</v>
      </c>
      <c r="E39" s="123">
        <v>1700</v>
      </c>
      <c r="F39" s="121"/>
      <c r="G39" s="239"/>
      <c r="H39" s="15"/>
      <c r="I39" s="16"/>
      <c r="J39" s="16"/>
      <c r="K39" s="16"/>
      <c r="L39" s="16"/>
      <c r="M39" s="15"/>
      <c r="N39" s="16"/>
      <c r="O39" s="16"/>
      <c r="Q39" s="3"/>
    </row>
    <row r="40" spans="1:17" ht="19.5" customHeight="1" x14ac:dyDescent="0.25">
      <c r="A40" s="1">
        <f>IF(B40&gt;0,SUM(MAX($A$14:A39),1),0)</f>
        <v>0</v>
      </c>
      <c r="B40" s="120"/>
      <c r="C40" s="121" t="s">
        <v>120</v>
      </c>
      <c r="D40" s="120">
        <v>1</v>
      </c>
      <c r="E40" s="123">
        <v>980</v>
      </c>
      <c r="F40" s="121"/>
      <c r="G40" s="239"/>
      <c r="H40" s="15"/>
      <c r="I40" s="16"/>
      <c r="J40" s="16"/>
      <c r="K40" s="16"/>
      <c r="L40" s="16"/>
      <c r="M40" s="15"/>
      <c r="N40" s="16"/>
      <c r="O40" s="16"/>
      <c r="Q40" s="3"/>
    </row>
    <row r="41" spans="1:17" s="2" customFormat="1" x14ac:dyDescent="0.25">
      <c r="A41" s="1" t="e">
        <f ca="1">IF(B41&gt;0,SUM(MAX($A$14:A60),1),0)</f>
        <v>#REF!</v>
      </c>
      <c r="B41" s="120">
        <f>B38+1</f>
        <v>10</v>
      </c>
      <c r="C41" s="121" t="s">
        <v>121</v>
      </c>
      <c r="D41" s="120">
        <v>5</v>
      </c>
      <c r="E41" s="123">
        <v>1500</v>
      </c>
      <c r="F41" s="121"/>
      <c r="G41" s="239" t="s">
        <v>26</v>
      </c>
      <c r="H41" s="23"/>
      <c r="I41" s="24"/>
      <c r="J41" s="24"/>
      <c r="K41" s="24"/>
      <c r="L41" s="24"/>
      <c r="M41" s="15" t="e">
        <f>#REF!*#REF!+#REF!*#REF!</f>
        <v>#REF!</v>
      </c>
      <c r="N41" s="24"/>
      <c r="O41" s="24"/>
      <c r="Q41" s="18"/>
    </row>
    <row r="42" spans="1:17" s="2" customFormat="1" ht="33" x14ac:dyDescent="0.25">
      <c r="A42" s="1">
        <f>IF(B42&gt;0,SUM(MAX($A$14:A41),1),0)</f>
        <v>0</v>
      </c>
      <c r="B42" s="120"/>
      <c r="C42" s="121" t="s">
        <v>123</v>
      </c>
      <c r="D42" s="120">
        <v>2</v>
      </c>
      <c r="E42" s="123">
        <v>980</v>
      </c>
      <c r="F42" s="121"/>
      <c r="G42" s="239"/>
      <c r="H42" s="23"/>
      <c r="I42" s="24"/>
      <c r="J42" s="24"/>
      <c r="K42" s="24"/>
      <c r="L42" s="24"/>
      <c r="M42" s="23"/>
      <c r="N42" s="24"/>
      <c r="O42" s="24"/>
    </row>
    <row r="43" spans="1:17" s="2" customFormat="1" x14ac:dyDescent="0.25">
      <c r="A43" s="1" t="e">
        <f ca="1">IF(B43&gt;0,SUM(MAX($A$14:A60),1),0)</f>
        <v>#REF!</v>
      </c>
      <c r="B43" s="120">
        <f>B41+1</f>
        <v>11</v>
      </c>
      <c r="C43" s="121" t="s">
        <v>128</v>
      </c>
      <c r="D43" s="120">
        <v>4</v>
      </c>
      <c r="E43" s="123">
        <v>980</v>
      </c>
      <c r="F43" s="121"/>
      <c r="G43" s="239" t="s">
        <v>26</v>
      </c>
      <c r="H43" s="23"/>
      <c r="I43" s="24"/>
      <c r="J43" s="24"/>
      <c r="K43" s="24"/>
      <c r="L43" s="24"/>
      <c r="M43" s="15" t="e">
        <f>#REF!*#REF!+#REF!*#REF!</f>
        <v>#REF!</v>
      </c>
      <c r="N43" s="24"/>
      <c r="O43" s="24"/>
      <c r="Q43" s="18"/>
    </row>
    <row r="44" spans="1:17" s="2" customFormat="1" x14ac:dyDescent="0.25">
      <c r="A44" s="1">
        <f>IF(B44&gt;0,SUM(MAX($A$14:A43),1),0)</f>
        <v>0</v>
      </c>
      <c r="B44" s="120"/>
      <c r="C44" s="121" t="s">
        <v>130</v>
      </c>
      <c r="D44" s="120">
        <v>2</v>
      </c>
      <c r="E44" s="123">
        <v>980</v>
      </c>
      <c r="F44" s="121"/>
      <c r="G44" s="239"/>
      <c r="H44" s="23"/>
      <c r="I44" s="24"/>
      <c r="J44" s="24"/>
      <c r="K44" s="24"/>
      <c r="L44" s="24"/>
      <c r="M44" s="23"/>
      <c r="N44" s="24"/>
      <c r="O44" s="24"/>
    </row>
    <row r="45" spans="1:17" s="2" customFormat="1" x14ac:dyDescent="0.25">
      <c r="A45" s="1" t="e">
        <f ca="1">IF(B45&gt;0,SUM(MAX($A$14:A60),1),0)</f>
        <v>#REF!</v>
      </c>
      <c r="B45" s="238">
        <f>B43+1</f>
        <v>12</v>
      </c>
      <c r="C45" s="242" t="s">
        <v>499</v>
      </c>
      <c r="D45" s="120">
        <v>5</v>
      </c>
      <c r="E45" s="123">
        <v>980</v>
      </c>
      <c r="F45" s="121"/>
      <c r="G45" s="239" t="s">
        <v>26</v>
      </c>
      <c r="H45" s="23"/>
      <c r="I45" s="24"/>
      <c r="J45" s="24"/>
      <c r="K45" s="24"/>
      <c r="L45" s="24"/>
      <c r="M45" s="15" t="e">
        <f>#REF!*#REF!+#REF!*#REF!</f>
        <v>#REF!</v>
      </c>
      <c r="N45" s="24"/>
      <c r="O45" s="24"/>
      <c r="Q45" s="18"/>
    </row>
    <row r="46" spans="1:17" s="48" customFormat="1" x14ac:dyDescent="0.25">
      <c r="A46" s="1">
        <f>IF(B46&gt;0,SUM(MAX($A$14:A45),1),0)</f>
        <v>0</v>
      </c>
      <c r="B46" s="238"/>
      <c r="C46" s="242"/>
      <c r="D46" s="120">
        <v>1</v>
      </c>
      <c r="E46" s="123">
        <v>1500</v>
      </c>
      <c r="F46" s="121"/>
      <c r="G46" s="239"/>
      <c r="H46" s="46"/>
      <c r="I46" s="47"/>
      <c r="J46" s="47"/>
      <c r="K46" s="47"/>
      <c r="L46" s="47"/>
      <c r="M46" s="46"/>
      <c r="N46" s="47"/>
      <c r="O46" s="47"/>
    </row>
    <row r="47" spans="1:17" s="2" customFormat="1" x14ac:dyDescent="0.25">
      <c r="A47" s="1" t="e">
        <f ca="1">IF(B47&gt;0,SUM(MAX($A$14:A46),1),0)</f>
        <v>#REF!</v>
      </c>
      <c r="B47" s="238">
        <f>B45+1</f>
        <v>13</v>
      </c>
      <c r="C47" s="242" t="s">
        <v>500</v>
      </c>
      <c r="D47" s="120">
        <v>5</v>
      </c>
      <c r="E47" s="123">
        <v>980</v>
      </c>
      <c r="F47" s="121"/>
      <c r="G47" s="239" t="s">
        <v>26</v>
      </c>
      <c r="H47" s="23"/>
      <c r="I47" s="24"/>
      <c r="J47" s="24"/>
      <c r="K47" s="24"/>
      <c r="L47" s="24"/>
      <c r="M47" s="15" t="e">
        <f>#REF!*#REF!+#REF!*#REF!</f>
        <v>#REF!</v>
      </c>
      <c r="N47" s="24"/>
      <c r="O47" s="24"/>
      <c r="Q47" s="18"/>
    </row>
    <row r="48" spans="1:17" s="2" customFormat="1" x14ac:dyDescent="0.25">
      <c r="A48" s="1">
        <f>IF(B48&gt;0,SUM(MAX($A$14:A47),1),0)</f>
        <v>0</v>
      </c>
      <c r="B48" s="238"/>
      <c r="C48" s="242"/>
      <c r="D48" s="120">
        <v>1</v>
      </c>
      <c r="E48" s="123">
        <v>1500</v>
      </c>
      <c r="F48" s="121"/>
      <c r="G48" s="239"/>
      <c r="H48" s="23"/>
      <c r="I48" s="24"/>
      <c r="J48" s="24"/>
      <c r="K48" s="24"/>
      <c r="L48" s="24"/>
      <c r="M48" s="23"/>
      <c r="N48" s="24"/>
      <c r="O48" s="24"/>
    </row>
    <row r="49" spans="1:17" s="2" customFormat="1" x14ac:dyDescent="0.25">
      <c r="A49" s="1" t="e">
        <f ca="1">IF(B49&gt;0,SUM(MAX($A$14:A60),1),0)</f>
        <v>#REF!</v>
      </c>
      <c r="B49" s="238">
        <f>B47+1</f>
        <v>14</v>
      </c>
      <c r="C49" s="242" t="s">
        <v>131</v>
      </c>
      <c r="D49" s="120">
        <v>7</v>
      </c>
      <c r="E49" s="123">
        <v>1500</v>
      </c>
      <c r="F49" s="121"/>
      <c r="G49" s="239" t="s">
        <v>26</v>
      </c>
      <c r="H49" s="23"/>
      <c r="I49" s="24"/>
      <c r="J49" s="24"/>
      <c r="K49" s="24"/>
      <c r="L49" s="24"/>
      <c r="M49" s="15" t="e">
        <f>#REF!*#REF!+#REF!*#REF!</f>
        <v>#REF!</v>
      </c>
      <c r="N49" s="24"/>
      <c r="O49" s="24"/>
      <c r="Q49" s="18"/>
    </row>
    <row r="50" spans="1:17" x14ac:dyDescent="0.25">
      <c r="A50" s="1">
        <f>IF(B50&gt;0,SUM(MAX($A$14:A49),1),0)</f>
        <v>0</v>
      </c>
      <c r="B50" s="238"/>
      <c r="C50" s="242"/>
      <c r="D50" s="120">
        <v>2</v>
      </c>
      <c r="E50" s="123">
        <v>980</v>
      </c>
      <c r="F50" s="121"/>
      <c r="G50" s="239"/>
      <c r="H50" s="15"/>
      <c r="I50" s="16"/>
      <c r="J50" s="16"/>
      <c r="K50" s="16"/>
      <c r="L50" s="16"/>
      <c r="M50" s="15"/>
      <c r="N50" s="16"/>
      <c r="O50" s="16"/>
      <c r="Q50" s="3"/>
    </row>
    <row r="51" spans="1:17" x14ac:dyDescent="0.25">
      <c r="A51" s="1" t="e">
        <f ca="1">IF(B51&gt;0,SUM(MAX($A$14:A60),1),0)</f>
        <v>#REF!</v>
      </c>
      <c r="B51" s="238">
        <f>B49+1</f>
        <v>15</v>
      </c>
      <c r="C51" s="242" t="s">
        <v>501</v>
      </c>
      <c r="D51" s="120">
        <v>3</v>
      </c>
      <c r="E51" s="123">
        <v>1950</v>
      </c>
      <c r="F51" s="121"/>
      <c r="G51" s="239" t="s">
        <v>26</v>
      </c>
      <c r="H51" s="15"/>
      <c r="I51" s="16"/>
      <c r="J51" s="16"/>
      <c r="K51" s="16"/>
      <c r="L51" s="16"/>
      <c r="M51" s="15" t="e">
        <f>#REF!*#REF!+#REF!*#REF!+#REF!*#REF!</f>
        <v>#REF!</v>
      </c>
      <c r="N51" s="16"/>
      <c r="O51" s="16"/>
    </row>
    <row r="52" spans="1:17" x14ac:dyDescent="0.25">
      <c r="A52" s="1">
        <f>IF(B52&gt;0,SUM(MAX($A$14:A51),1),0)</f>
        <v>0</v>
      </c>
      <c r="B52" s="238"/>
      <c r="C52" s="242"/>
      <c r="D52" s="120">
        <v>2</v>
      </c>
      <c r="E52" s="123">
        <v>980</v>
      </c>
      <c r="F52" s="121"/>
      <c r="G52" s="239"/>
      <c r="H52" s="15"/>
      <c r="I52" s="16"/>
      <c r="J52" s="16"/>
      <c r="K52" s="16"/>
      <c r="L52" s="16"/>
      <c r="M52" s="15"/>
      <c r="N52" s="16"/>
      <c r="O52" s="16"/>
      <c r="Q52" s="3"/>
    </row>
    <row r="53" spans="1:17" x14ac:dyDescent="0.25">
      <c r="A53" s="1">
        <f>IF(B53&gt;0,SUM(MAX($A$14:A52),1),0)</f>
        <v>0</v>
      </c>
      <c r="B53" s="120"/>
      <c r="C53" s="121" t="s">
        <v>136</v>
      </c>
      <c r="D53" s="120">
        <v>2</v>
      </c>
      <c r="E53" s="123">
        <v>980</v>
      </c>
      <c r="F53" s="121"/>
      <c r="G53" s="239"/>
      <c r="H53" s="15"/>
      <c r="I53" s="16"/>
      <c r="J53" s="16"/>
      <c r="K53" s="16"/>
      <c r="L53" s="16"/>
      <c r="M53" s="15"/>
      <c r="N53" s="16"/>
      <c r="O53" s="16"/>
      <c r="Q53" s="3"/>
    </row>
    <row r="54" spans="1:17" x14ac:dyDescent="0.25">
      <c r="A54" s="1" t="e">
        <f ca="1">IF(B54&gt;0,SUM(MAX($A$14:A64),1),0)</f>
        <v>#REF!</v>
      </c>
      <c r="B54" s="238">
        <f>B51+1</f>
        <v>16</v>
      </c>
      <c r="C54" s="242" t="s">
        <v>141</v>
      </c>
      <c r="D54" s="120">
        <v>4</v>
      </c>
      <c r="E54" s="123">
        <v>980</v>
      </c>
      <c r="F54" s="121"/>
      <c r="G54" s="239" t="s">
        <v>26</v>
      </c>
      <c r="H54" s="15"/>
      <c r="I54" s="16"/>
      <c r="J54" s="16"/>
      <c r="K54" s="16"/>
      <c r="L54" s="16"/>
      <c r="M54" s="15" t="e">
        <f>#REF!*#REF!+#REF!*#REF!+#REF!*#REF!</f>
        <v>#REF!</v>
      </c>
      <c r="N54" s="16"/>
      <c r="O54" s="16"/>
    </row>
    <row r="55" spans="1:17" x14ac:dyDescent="0.25">
      <c r="A55" s="1">
        <f>IF(B55&gt;0,SUM(MAX($A$14:A54),1),0)</f>
        <v>0</v>
      </c>
      <c r="B55" s="238"/>
      <c r="C55" s="242"/>
      <c r="D55" s="120">
        <v>1</v>
      </c>
      <c r="E55" s="123">
        <v>1500</v>
      </c>
      <c r="F55" s="121"/>
      <c r="G55" s="239"/>
      <c r="H55" s="15"/>
      <c r="I55" s="16"/>
      <c r="J55" s="16"/>
      <c r="K55" s="16"/>
      <c r="L55" s="16"/>
      <c r="M55" s="15"/>
      <c r="N55" s="16"/>
      <c r="O55" s="16"/>
      <c r="Q55" s="3"/>
    </row>
    <row r="56" spans="1:17" x14ac:dyDescent="0.25">
      <c r="A56" s="1">
        <f>IF(B56&gt;0,SUM(MAX($A$14:A55),1),0)</f>
        <v>0</v>
      </c>
      <c r="B56" s="120"/>
      <c r="C56" s="121" t="s">
        <v>143</v>
      </c>
      <c r="D56" s="120">
        <v>1</v>
      </c>
      <c r="E56" s="123">
        <v>980</v>
      </c>
      <c r="F56" s="121"/>
      <c r="G56" s="239"/>
      <c r="H56" s="15"/>
      <c r="I56" s="16"/>
      <c r="J56" s="16"/>
      <c r="K56" s="16"/>
      <c r="L56" s="16"/>
      <c r="M56" s="15"/>
      <c r="N56" s="16"/>
      <c r="O56" s="16"/>
      <c r="Q56" s="3"/>
    </row>
    <row r="57" spans="1:17" s="41" customFormat="1" x14ac:dyDescent="0.25">
      <c r="A57" s="1" t="e">
        <f ca="1">IF(B57&gt;0,SUM(MAX($A$14:A35),1),0)</f>
        <v>#REF!</v>
      </c>
      <c r="B57" s="238">
        <f>B54+1</f>
        <v>17</v>
      </c>
      <c r="C57" s="242" t="s">
        <v>114</v>
      </c>
      <c r="D57" s="120">
        <v>2</v>
      </c>
      <c r="E57" s="123">
        <v>1700</v>
      </c>
      <c r="F57" s="121"/>
      <c r="G57" s="238" t="s">
        <v>30</v>
      </c>
      <c r="H57" s="39"/>
      <c r="I57" s="40"/>
      <c r="J57" s="40"/>
      <c r="K57" s="40"/>
      <c r="L57" s="40"/>
      <c r="M57" s="15" t="e">
        <f>#REF!*#REF!+#REF!*#REF!</f>
        <v>#REF!</v>
      </c>
      <c r="N57" s="40"/>
      <c r="O57" s="40"/>
    </row>
    <row r="58" spans="1:17" s="41" customFormat="1" x14ac:dyDescent="0.25">
      <c r="A58" s="1">
        <f>IF(B58&gt;0,SUM(MAX($A$14:A57),1),0)</f>
        <v>0</v>
      </c>
      <c r="B58" s="238"/>
      <c r="C58" s="242"/>
      <c r="D58" s="120">
        <v>2</v>
      </c>
      <c r="E58" s="123">
        <v>980</v>
      </c>
      <c r="F58" s="121"/>
      <c r="G58" s="238"/>
      <c r="H58" s="39"/>
      <c r="I58" s="40"/>
      <c r="J58" s="40"/>
      <c r="K58" s="40"/>
      <c r="L58" s="40"/>
      <c r="M58" s="39"/>
      <c r="N58" s="40"/>
      <c r="O58" s="40"/>
    </row>
    <row r="59" spans="1:17" s="41" customFormat="1" x14ac:dyDescent="0.25">
      <c r="A59" s="1" t="e">
        <f ca="1">IF(B59&gt;0,SUM(MAX($A$14:A58),1),0)</f>
        <v>#REF!</v>
      </c>
      <c r="B59" s="238">
        <f>B57+1</f>
        <v>18</v>
      </c>
      <c r="C59" s="242" t="s">
        <v>116</v>
      </c>
      <c r="D59" s="120">
        <v>1</v>
      </c>
      <c r="E59" s="123">
        <v>1500</v>
      </c>
      <c r="F59" s="121"/>
      <c r="G59" s="238" t="s">
        <v>30</v>
      </c>
      <c r="H59" s="39"/>
      <c r="I59" s="40"/>
      <c r="J59" s="40"/>
      <c r="K59" s="40"/>
      <c r="L59" s="40"/>
      <c r="M59" s="15" t="e">
        <f>#REF!*#REF!+#REF!*#REF!</f>
        <v>#REF!</v>
      </c>
      <c r="N59" s="40"/>
      <c r="O59" s="40"/>
    </row>
    <row r="60" spans="1:17" s="41" customFormat="1" x14ac:dyDescent="0.25">
      <c r="A60" s="1">
        <f>IF(B60&gt;0,SUM(MAX($A$14:A59),1),0)</f>
        <v>0</v>
      </c>
      <c r="B60" s="238"/>
      <c r="C60" s="242"/>
      <c r="D60" s="120">
        <v>7</v>
      </c>
      <c r="E60" s="123">
        <v>980</v>
      </c>
      <c r="F60" s="121"/>
      <c r="G60" s="238"/>
      <c r="H60" s="39"/>
      <c r="I60" s="40"/>
      <c r="J60" s="40"/>
      <c r="K60" s="40"/>
      <c r="L60" s="40"/>
      <c r="M60" s="39"/>
      <c r="N60" s="40"/>
      <c r="O60" s="40"/>
    </row>
    <row r="61" spans="1:17" x14ac:dyDescent="0.25">
      <c r="A61" s="1" t="e">
        <f ca="1">IF(B61&gt;0,SUM(MAX($A$14:A150),1),0)</f>
        <v>#REF!</v>
      </c>
      <c r="B61" s="238">
        <f>B59+1</f>
        <v>19</v>
      </c>
      <c r="C61" s="242" t="s">
        <v>138</v>
      </c>
      <c r="D61" s="120">
        <v>1</v>
      </c>
      <c r="E61" s="123">
        <v>1500</v>
      </c>
      <c r="F61" s="121"/>
      <c r="G61" s="238" t="s">
        <v>139</v>
      </c>
      <c r="H61" s="15"/>
      <c r="I61" s="16"/>
      <c r="J61" s="16"/>
      <c r="K61" s="16"/>
      <c r="L61" s="16"/>
      <c r="M61" s="15" t="e">
        <f>#REF!*#REF!+#REF!*#REF!+#REF!*#REF!</f>
        <v>#REF!</v>
      </c>
      <c r="N61" s="16"/>
      <c r="O61" s="16"/>
      <c r="Q61" s="3"/>
    </row>
    <row r="62" spans="1:17" x14ac:dyDescent="0.25">
      <c r="A62" s="1">
        <f>IF(B62&gt;0,SUM(MAX($A$14:A61),1),0)</f>
        <v>0</v>
      </c>
      <c r="B62" s="238"/>
      <c r="C62" s="242"/>
      <c r="D62" s="120">
        <v>3</v>
      </c>
      <c r="E62" s="123">
        <v>980</v>
      </c>
      <c r="F62" s="121"/>
      <c r="G62" s="238"/>
      <c r="H62" s="15"/>
      <c r="I62" s="16"/>
      <c r="J62" s="16"/>
      <c r="K62" s="16"/>
      <c r="L62" s="16"/>
      <c r="M62" s="15"/>
      <c r="N62" s="16"/>
      <c r="O62" s="16"/>
      <c r="Q62" s="3"/>
    </row>
    <row r="63" spans="1:17" x14ac:dyDescent="0.25">
      <c r="A63" s="1">
        <f>IF(B63&gt;0,SUM(MAX($A$14:A62),1),0)</f>
        <v>0</v>
      </c>
      <c r="B63" s="238"/>
      <c r="C63" s="242"/>
      <c r="D63" s="120">
        <v>1</v>
      </c>
      <c r="E63" s="123">
        <v>800</v>
      </c>
      <c r="F63" s="121"/>
      <c r="G63" s="238"/>
      <c r="H63" s="15"/>
      <c r="I63" s="16"/>
      <c r="J63" s="16"/>
      <c r="K63" s="16"/>
      <c r="L63" s="16"/>
      <c r="M63" s="15"/>
      <c r="N63" s="16"/>
      <c r="O63" s="16"/>
      <c r="Q63" s="3"/>
    </row>
    <row r="64" spans="1:17" s="2" customFormat="1" ht="25.5" customHeight="1" x14ac:dyDescent="0.25">
      <c r="A64" s="1" t="e">
        <f ca="1">IF(B64&gt;0,SUM(MAX($A$14:A63),1),0)</f>
        <v>#REF!</v>
      </c>
      <c r="B64" s="120">
        <f>B61+1</f>
        <v>20</v>
      </c>
      <c r="C64" s="121" t="s">
        <v>140</v>
      </c>
      <c r="D64" s="120">
        <v>5</v>
      </c>
      <c r="E64" s="123">
        <v>4000</v>
      </c>
      <c r="F64" s="121"/>
      <c r="G64" s="120" t="s">
        <v>139</v>
      </c>
      <c r="H64" s="23"/>
      <c r="I64" s="24"/>
      <c r="J64" s="24"/>
      <c r="K64" s="24"/>
      <c r="L64" s="24"/>
      <c r="M64" s="23" t="e">
        <f>#REF!*#REF!</f>
        <v>#REF!</v>
      </c>
      <c r="N64" s="24"/>
      <c r="O64" s="24"/>
    </row>
    <row r="65" spans="1:29" s="53" customFormat="1" x14ac:dyDescent="0.25">
      <c r="A65" s="1"/>
      <c r="B65" s="131" t="s">
        <v>145</v>
      </c>
      <c r="C65" s="130" t="s">
        <v>526</v>
      </c>
      <c r="D65" s="132">
        <f>SUM(D66:D188)</f>
        <v>388</v>
      </c>
      <c r="E65" s="125"/>
      <c r="F65" s="130"/>
      <c r="G65" s="131"/>
      <c r="H65" s="51" t="e">
        <f>+#REF!+#REF!+#REF!</f>
        <v>#REF!</v>
      </c>
      <c r="I65" s="51" t="e">
        <f>+#REF!+#REF!+#REF!</f>
        <v>#REF!</v>
      </c>
      <c r="J65" s="51" t="e">
        <f>+#REF!+#REF!+#REF!</f>
        <v>#REF!</v>
      </c>
      <c r="K65" s="52"/>
      <c r="L65" s="52"/>
      <c r="M65" s="51" t="e">
        <f>+#REF!+#REF!+#REF!</f>
        <v>#REF!</v>
      </c>
      <c r="N65" s="52"/>
      <c r="O65" s="52"/>
    </row>
    <row r="66" spans="1:29" x14ac:dyDescent="0.25">
      <c r="A66" s="1" t="e">
        <f ca="1">IF(B66&gt;0,SUM(MAX($A$14:A30),1),0)</f>
        <v>#REF!</v>
      </c>
      <c r="B66" s="120">
        <v>1</v>
      </c>
      <c r="C66" s="121" t="s">
        <v>94</v>
      </c>
      <c r="D66" s="120">
        <v>8</v>
      </c>
      <c r="E66" s="123">
        <v>8000</v>
      </c>
      <c r="F66" s="121"/>
      <c r="G66" s="120" t="s">
        <v>37</v>
      </c>
      <c r="H66" s="15"/>
      <c r="I66" s="16"/>
      <c r="J66" s="16"/>
      <c r="K66" s="16"/>
      <c r="L66" s="16"/>
      <c r="M66" s="15" t="e">
        <f>#REF!*#REF!</f>
        <v>#REF!</v>
      </c>
      <c r="N66" s="16"/>
      <c r="O66" s="16"/>
      <c r="Q66" s="3"/>
    </row>
    <row r="67" spans="1:29" x14ac:dyDescent="0.25">
      <c r="A67" s="1" t="e">
        <f ca="1">IF(B67&gt;0,SUM(MAX($A$14:A70),1),0)</f>
        <v>#REF!</v>
      </c>
      <c r="B67" s="120">
        <f>B66+1</f>
        <v>2</v>
      </c>
      <c r="C67" s="121" t="s">
        <v>213</v>
      </c>
      <c r="D67" s="120">
        <v>3</v>
      </c>
      <c r="E67" s="123">
        <v>25200</v>
      </c>
      <c r="F67" s="121"/>
      <c r="G67" s="120" t="s">
        <v>37</v>
      </c>
      <c r="H67" s="15"/>
      <c r="I67" s="16"/>
      <c r="J67" s="16"/>
      <c r="K67" s="16"/>
      <c r="L67" s="16"/>
      <c r="M67" s="15" t="e">
        <f>#REF!*#REF!</f>
        <v>#REF!</v>
      </c>
      <c r="N67" s="16"/>
      <c r="O67" s="16"/>
      <c r="Q67" s="3"/>
    </row>
    <row r="68" spans="1:29" x14ac:dyDescent="0.25">
      <c r="A68" s="1" t="e">
        <f ca="1">IF(B68&gt;0,SUM(MAX($A$14:A72),1),0)</f>
        <v>#REF!</v>
      </c>
      <c r="B68" s="238">
        <f>B67+1</f>
        <v>3</v>
      </c>
      <c r="C68" s="242" t="s">
        <v>204</v>
      </c>
      <c r="D68" s="120">
        <v>7</v>
      </c>
      <c r="E68" s="123">
        <v>1950</v>
      </c>
      <c r="F68" s="121"/>
      <c r="G68" s="238" t="s">
        <v>26</v>
      </c>
      <c r="H68" s="15"/>
      <c r="I68" s="16"/>
      <c r="J68" s="16"/>
      <c r="K68" s="16"/>
      <c r="L68" s="16"/>
      <c r="M68" s="55" t="e">
        <f>#REF!*#REF!+#REF!*#REF!</f>
        <v>#REF!</v>
      </c>
      <c r="N68" s="16"/>
      <c r="O68" s="16"/>
    </row>
    <row r="69" spans="1:29" x14ac:dyDescent="0.25">
      <c r="A69" s="1">
        <f>IF(B69&gt;0,SUM(MAX($A$14:A68),1),0)</f>
        <v>0</v>
      </c>
      <c r="B69" s="238"/>
      <c r="C69" s="242"/>
      <c r="D69" s="120">
        <v>2</v>
      </c>
      <c r="E69" s="123">
        <v>800</v>
      </c>
      <c r="F69" s="121"/>
      <c r="G69" s="238"/>
      <c r="H69" s="15"/>
      <c r="I69" s="16"/>
      <c r="J69" s="16"/>
      <c r="K69" s="16"/>
      <c r="L69" s="16"/>
      <c r="M69" s="15"/>
      <c r="N69" s="16"/>
      <c r="O69" s="16"/>
      <c r="Q69" s="3"/>
    </row>
    <row r="70" spans="1:29" x14ac:dyDescent="0.25">
      <c r="A70" s="1" t="e">
        <f ca="1">IF(B70&gt;0,SUM(MAX($A$14:A77),1),0)</f>
        <v>#REF!</v>
      </c>
      <c r="B70" s="120">
        <f>B68+1</f>
        <v>4</v>
      </c>
      <c r="C70" s="121" t="s">
        <v>211</v>
      </c>
      <c r="D70" s="120">
        <v>3</v>
      </c>
      <c r="E70" s="123">
        <v>1200</v>
      </c>
      <c r="F70" s="121"/>
      <c r="G70" s="120" t="s">
        <v>158</v>
      </c>
      <c r="H70" s="15"/>
      <c r="I70" s="16"/>
      <c r="J70" s="16"/>
      <c r="K70" s="16"/>
      <c r="L70" s="16"/>
      <c r="M70" s="15" t="e">
        <f>#REF!*#REF!</f>
        <v>#REF!</v>
      </c>
      <c r="N70" s="16"/>
      <c r="O70" s="16"/>
      <c r="Q70" s="3"/>
    </row>
    <row r="71" spans="1:29" x14ac:dyDescent="0.25">
      <c r="A71" s="1" t="e">
        <f ca="1">IF(B71&gt;0,SUM(MAX($A$14:A70),1),0)</f>
        <v>#REF!</v>
      </c>
      <c r="B71" s="120">
        <f>B70+1</f>
        <v>5</v>
      </c>
      <c r="C71" s="121" t="s">
        <v>215</v>
      </c>
      <c r="D71" s="120">
        <v>4</v>
      </c>
      <c r="E71" s="123">
        <v>4000</v>
      </c>
      <c r="F71" s="121"/>
      <c r="G71" s="120" t="s">
        <v>158</v>
      </c>
      <c r="H71" s="15"/>
      <c r="I71" s="16"/>
      <c r="J71" s="16"/>
      <c r="K71" s="16"/>
      <c r="L71" s="16"/>
      <c r="M71" s="15" t="e">
        <f>#REF!*#REF!</f>
        <v>#REF!</v>
      </c>
      <c r="N71" s="16"/>
      <c r="O71" s="16"/>
      <c r="Q71" s="3"/>
    </row>
    <row r="72" spans="1:29" x14ac:dyDescent="0.25">
      <c r="A72" s="1" t="e">
        <f ca="1">IF(B72&gt;0,SUM(MAX($A$14:A65),1),0)</f>
        <v>#REF!</v>
      </c>
      <c r="B72" s="120">
        <f>B71+1</f>
        <v>6</v>
      </c>
      <c r="C72" s="121" t="s">
        <v>201</v>
      </c>
      <c r="D72" s="120">
        <v>4</v>
      </c>
      <c r="E72" s="123">
        <v>980</v>
      </c>
      <c r="F72" s="121"/>
      <c r="G72" s="120" t="s">
        <v>202</v>
      </c>
      <c r="H72" s="15"/>
      <c r="I72" s="16"/>
      <c r="J72" s="16"/>
      <c r="K72" s="16"/>
      <c r="L72" s="16"/>
      <c r="M72" s="55" t="e">
        <f>#REF!*#REF!</f>
        <v>#REF!</v>
      </c>
      <c r="N72" s="16"/>
      <c r="O72" s="16"/>
      <c r="Q72" s="3"/>
      <c r="S72" s="59"/>
      <c r="T72" s="59"/>
      <c r="U72" s="59"/>
      <c r="V72" s="59">
        <v>3</v>
      </c>
      <c r="W72" s="59">
        <v>980</v>
      </c>
      <c r="X72" s="59"/>
      <c r="Y72" s="59"/>
      <c r="Z72">
        <f t="shared" ref="Z72" si="1">V72*W72</f>
        <v>2940</v>
      </c>
      <c r="AA72"/>
      <c r="AB72"/>
      <c r="AC72"/>
    </row>
    <row r="73" spans="1:29" x14ac:dyDescent="0.25">
      <c r="A73" s="1" t="e">
        <f ca="1">IF(B73&gt;0,SUM(MAX($A$14:A72),1),0)</f>
        <v>#REF!</v>
      </c>
      <c r="B73" s="238">
        <f>B72+1</f>
        <v>7</v>
      </c>
      <c r="C73" s="242" t="s">
        <v>206</v>
      </c>
      <c r="D73" s="120">
        <v>2</v>
      </c>
      <c r="E73" s="123">
        <v>980</v>
      </c>
      <c r="F73" s="121"/>
      <c r="G73" s="238" t="s">
        <v>202</v>
      </c>
      <c r="H73" s="15"/>
      <c r="I73" s="16"/>
      <c r="J73" s="16"/>
      <c r="K73" s="16"/>
      <c r="L73" s="16"/>
      <c r="M73" s="55" t="e">
        <f>#REF!*#REF!+#REF!*#REF!</f>
        <v>#REF!</v>
      </c>
      <c r="N73" s="16"/>
      <c r="O73" s="16"/>
      <c r="Q73" s="3"/>
    </row>
    <row r="74" spans="1:29" x14ac:dyDescent="0.25">
      <c r="A74" s="1">
        <f>IF(B74&gt;0,SUM(MAX($A$14:A73),1),0)</f>
        <v>0</v>
      </c>
      <c r="B74" s="238"/>
      <c r="C74" s="242"/>
      <c r="D74" s="120">
        <v>2</v>
      </c>
      <c r="E74" s="123">
        <v>1120</v>
      </c>
      <c r="F74" s="121"/>
      <c r="G74" s="238"/>
      <c r="H74" s="15"/>
      <c r="I74" s="16"/>
      <c r="J74" s="16"/>
      <c r="K74" s="16"/>
      <c r="L74" s="16"/>
      <c r="M74" s="15"/>
      <c r="N74" s="16"/>
      <c r="O74" s="16"/>
      <c r="Q74" s="3"/>
    </row>
    <row r="75" spans="1:29" x14ac:dyDescent="0.25">
      <c r="A75" s="1" t="e">
        <f ca="1">IF(B75&gt;0,SUM(MAX($A$14:A74),1),0)</f>
        <v>#REF!</v>
      </c>
      <c r="B75" s="238">
        <f>B73+1</f>
        <v>8</v>
      </c>
      <c r="C75" s="242" t="s">
        <v>208</v>
      </c>
      <c r="D75" s="120">
        <v>2</v>
      </c>
      <c r="E75" s="123">
        <v>980</v>
      </c>
      <c r="F75" s="121"/>
      <c r="G75" s="238" t="s">
        <v>202</v>
      </c>
      <c r="H75" s="15"/>
      <c r="I75" s="16"/>
      <c r="J75" s="16"/>
      <c r="K75" s="16"/>
      <c r="L75" s="16"/>
      <c r="M75" s="55" t="e">
        <f>#REF!*#REF!+#REF!*#REF!</f>
        <v>#REF!</v>
      </c>
      <c r="N75" s="16"/>
      <c r="O75" s="16"/>
      <c r="Q75" s="3"/>
    </row>
    <row r="76" spans="1:29" x14ac:dyDescent="0.25">
      <c r="A76" s="1">
        <f>IF(B76&gt;0,SUM(MAX($A$14:A75),1),0)</f>
        <v>0</v>
      </c>
      <c r="B76" s="238"/>
      <c r="C76" s="242"/>
      <c r="D76" s="120">
        <v>1</v>
      </c>
      <c r="E76" s="123">
        <v>1200</v>
      </c>
      <c r="F76" s="121"/>
      <c r="G76" s="238"/>
      <c r="H76" s="15"/>
      <c r="I76" s="16"/>
      <c r="J76" s="16"/>
      <c r="K76" s="16"/>
      <c r="L76" s="16"/>
      <c r="M76" s="15"/>
      <c r="N76" s="16"/>
      <c r="O76" s="16"/>
      <c r="Q76" s="3"/>
    </row>
    <row r="77" spans="1:29" x14ac:dyDescent="0.25">
      <c r="A77" s="1" t="e">
        <f ca="1">IF(B77&gt;0,SUM(MAX($A$14:A76),1),0)</f>
        <v>#REF!</v>
      </c>
      <c r="B77" s="120">
        <f>B75+1</f>
        <v>9</v>
      </c>
      <c r="C77" s="121" t="s">
        <v>209</v>
      </c>
      <c r="D77" s="120">
        <v>3</v>
      </c>
      <c r="E77" s="123">
        <v>1400</v>
      </c>
      <c r="F77" s="121"/>
      <c r="G77" s="120" t="s">
        <v>83</v>
      </c>
      <c r="H77" s="15"/>
      <c r="I77" s="16"/>
      <c r="J77" s="16"/>
      <c r="K77" s="16"/>
      <c r="L77" s="16"/>
      <c r="M77" s="15" t="e">
        <f>#REF!*#REF!</f>
        <v>#REF!</v>
      </c>
      <c r="N77" s="16"/>
      <c r="O77" s="16"/>
      <c r="Q77" s="3"/>
    </row>
    <row r="78" spans="1:29" x14ac:dyDescent="0.25">
      <c r="A78" s="1" t="e">
        <f ca="1">IF(B78&gt;0,SUM(MAX($A$14:A77),1),0)</f>
        <v>#REF!</v>
      </c>
      <c r="B78" s="238">
        <f>B77+1</f>
        <v>10</v>
      </c>
      <c r="C78" s="242" t="s">
        <v>216</v>
      </c>
      <c r="D78" s="120">
        <v>1</v>
      </c>
      <c r="E78" s="123">
        <v>1200</v>
      </c>
      <c r="F78" s="121"/>
      <c r="G78" s="238" t="s">
        <v>217</v>
      </c>
      <c r="H78" s="15"/>
      <c r="I78" s="16"/>
      <c r="J78" s="16"/>
      <c r="K78" s="16"/>
      <c r="L78" s="16"/>
      <c r="M78" s="15" t="e">
        <f>#REF!*#REF!+#REF!*#REF!</f>
        <v>#REF!</v>
      </c>
      <c r="N78" s="16"/>
      <c r="O78" s="16"/>
      <c r="Q78" s="3"/>
    </row>
    <row r="79" spans="1:29" x14ac:dyDescent="0.25">
      <c r="A79" s="1">
        <f>IF(B79&gt;0,SUM(MAX($A$14:A78),1),0)</f>
        <v>0</v>
      </c>
      <c r="B79" s="238"/>
      <c r="C79" s="242"/>
      <c r="D79" s="120">
        <v>1</v>
      </c>
      <c r="E79" s="123">
        <v>980</v>
      </c>
      <c r="F79" s="121"/>
      <c r="G79" s="238"/>
      <c r="H79" s="15"/>
      <c r="I79" s="16"/>
      <c r="J79" s="16"/>
      <c r="K79" s="16"/>
      <c r="L79" s="16"/>
      <c r="M79" s="15"/>
      <c r="N79" s="16"/>
      <c r="O79" s="16"/>
      <c r="Q79" s="3"/>
    </row>
    <row r="80" spans="1:29" s="2" customFormat="1" x14ac:dyDescent="0.25">
      <c r="A80" s="1" t="e">
        <f ca="1">IF(B80&gt;0,SUM(MAX($A$14:A34),1),0)</f>
        <v>#REF!</v>
      </c>
      <c r="B80" s="238">
        <f>B78+1</f>
        <v>11</v>
      </c>
      <c r="C80" s="242" t="s">
        <v>100</v>
      </c>
      <c r="D80" s="120">
        <v>1</v>
      </c>
      <c r="E80" s="123">
        <v>1500</v>
      </c>
      <c r="F80" s="121"/>
      <c r="G80" s="238" t="s">
        <v>83</v>
      </c>
      <c r="H80" s="23"/>
      <c r="I80" s="24"/>
      <c r="J80" s="24"/>
      <c r="K80" s="24"/>
      <c r="L80" s="24"/>
      <c r="M80" s="15" t="e">
        <f>#REF!*#REF!+#REF!*#REF!</f>
        <v>#REF!</v>
      </c>
      <c r="N80" s="24"/>
      <c r="O80" s="24"/>
    </row>
    <row r="81" spans="1:17" s="41" customFormat="1" x14ac:dyDescent="0.25">
      <c r="A81" s="1">
        <f>IF(B81&gt;0,SUM(MAX($A$14:A80),1),0)</f>
        <v>0</v>
      </c>
      <c r="B81" s="238"/>
      <c r="C81" s="242"/>
      <c r="D81" s="120">
        <v>1</v>
      </c>
      <c r="E81" s="123">
        <v>1000</v>
      </c>
      <c r="F81" s="121"/>
      <c r="G81" s="238"/>
      <c r="H81" s="39"/>
      <c r="I81" s="40"/>
      <c r="J81" s="40"/>
      <c r="K81" s="40"/>
      <c r="L81" s="40"/>
      <c r="M81" s="39"/>
      <c r="N81" s="40"/>
      <c r="O81" s="40"/>
    </row>
    <row r="82" spans="1:17" s="57" customFormat="1" x14ac:dyDescent="0.25">
      <c r="A82" s="1" t="e">
        <f ca="1">IF(B82&gt;0,SUM(MAX($A$14:A126),1),0)</f>
        <v>#REF!</v>
      </c>
      <c r="B82" s="238">
        <f>B80+1</f>
        <v>12</v>
      </c>
      <c r="C82" s="242" t="s">
        <v>234</v>
      </c>
      <c r="D82" s="120">
        <v>1</v>
      </c>
      <c r="E82" s="123">
        <v>1200</v>
      </c>
      <c r="F82" s="121"/>
      <c r="G82" s="238" t="s">
        <v>26</v>
      </c>
      <c r="H82" s="55"/>
      <c r="I82" s="56"/>
      <c r="J82" s="56"/>
      <c r="K82" s="56"/>
      <c r="L82" s="56"/>
      <c r="M82" s="55" t="e">
        <f>#REF!*#REF!+#REF!*#REF!+#REF!*#REF!</f>
        <v>#REF!</v>
      </c>
      <c r="N82" s="56"/>
      <c r="O82" s="56"/>
      <c r="Q82" s="101"/>
    </row>
    <row r="83" spans="1:17" s="57" customFormat="1" x14ac:dyDescent="0.25">
      <c r="A83" s="1">
        <f>IF(B83&gt;0,SUM(MAX($A$14:A82),1),0)</f>
        <v>0</v>
      </c>
      <c r="B83" s="238"/>
      <c r="C83" s="242"/>
      <c r="D83" s="120">
        <v>3</v>
      </c>
      <c r="E83" s="123">
        <v>2000</v>
      </c>
      <c r="F83" s="121"/>
      <c r="G83" s="238"/>
      <c r="H83" s="55"/>
      <c r="I83" s="56"/>
      <c r="J83" s="56"/>
      <c r="K83" s="56"/>
      <c r="L83" s="56"/>
      <c r="M83" s="55"/>
      <c r="N83" s="56"/>
      <c r="O83" s="56"/>
    </row>
    <row r="84" spans="1:17" s="57" customFormat="1" x14ac:dyDescent="0.25">
      <c r="A84" s="1">
        <f>IF(B84&gt;0,SUM(MAX($A$14:A83),1),0)</f>
        <v>0</v>
      </c>
      <c r="B84" s="120"/>
      <c r="C84" s="121" t="s">
        <v>236</v>
      </c>
      <c r="D84" s="120">
        <v>1</v>
      </c>
      <c r="E84" s="123">
        <v>1200</v>
      </c>
      <c r="F84" s="121"/>
      <c r="G84" s="238"/>
      <c r="H84" s="55"/>
      <c r="I84" s="56"/>
      <c r="J84" s="56"/>
      <c r="K84" s="56"/>
      <c r="L84" s="56"/>
      <c r="M84" s="55"/>
      <c r="N84" s="56"/>
      <c r="O84" s="56"/>
    </row>
    <row r="85" spans="1:17" s="57" customFormat="1" x14ac:dyDescent="0.25">
      <c r="A85" s="1"/>
      <c r="B85" s="238">
        <f>B82+1</f>
        <v>13</v>
      </c>
      <c r="C85" s="242" t="s">
        <v>239</v>
      </c>
      <c r="D85" s="120">
        <v>3</v>
      </c>
      <c r="E85" s="123">
        <v>2000</v>
      </c>
      <c r="F85" s="121"/>
      <c r="G85" s="238" t="s">
        <v>26</v>
      </c>
      <c r="H85" s="55"/>
      <c r="I85" s="56"/>
      <c r="J85" s="56"/>
      <c r="K85" s="56"/>
      <c r="L85" s="56"/>
      <c r="M85" s="55" t="e">
        <f>#REF!*#REF!+#REF!*#REF!+#REF!*#REF!</f>
        <v>#REF!</v>
      </c>
      <c r="N85" s="56"/>
      <c r="O85" s="56"/>
      <c r="Q85" s="101"/>
    </row>
    <row r="86" spans="1:17" s="57" customFormat="1" x14ac:dyDescent="0.25">
      <c r="A86" s="1"/>
      <c r="B86" s="238"/>
      <c r="C86" s="242"/>
      <c r="D86" s="120">
        <v>1</v>
      </c>
      <c r="E86" s="123">
        <v>1200</v>
      </c>
      <c r="F86" s="121"/>
      <c r="G86" s="238"/>
      <c r="H86" s="55"/>
      <c r="I86" s="56"/>
      <c r="J86" s="56"/>
      <c r="K86" s="56"/>
      <c r="L86" s="56"/>
      <c r="M86" s="55"/>
      <c r="N86" s="56"/>
      <c r="O86" s="56"/>
    </row>
    <row r="87" spans="1:17" s="57" customFormat="1" x14ac:dyDescent="0.25">
      <c r="A87" s="1"/>
      <c r="B87" s="120"/>
      <c r="C87" s="121" t="s">
        <v>241</v>
      </c>
      <c r="D87" s="120">
        <v>1</v>
      </c>
      <c r="E87" s="123">
        <v>1400</v>
      </c>
      <c r="F87" s="121"/>
      <c r="G87" s="238"/>
      <c r="H87" s="55"/>
      <c r="I87" s="56"/>
      <c r="J87" s="56"/>
      <c r="K87" s="56"/>
      <c r="L87" s="56"/>
      <c r="M87" s="55"/>
      <c r="N87" s="56"/>
      <c r="O87" s="56"/>
    </row>
    <row r="88" spans="1:17" s="57" customFormat="1" x14ac:dyDescent="0.25">
      <c r="A88" s="1" t="e">
        <f ca="1">IF(B88&gt;0,SUM(MAX($A$14:A89),1),0)</f>
        <v>#REF!</v>
      </c>
      <c r="B88" s="120">
        <f>B85+1</f>
        <v>14</v>
      </c>
      <c r="C88" s="121" t="s">
        <v>219</v>
      </c>
      <c r="D88" s="120">
        <v>7</v>
      </c>
      <c r="E88" s="123">
        <v>980</v>
      </c>
      <c r="F88" s="121"/>
      <c r="G88" s="120" t="s">
        <v>26</v>
      </c>
      <c r="H88" s="55"/>
      <c r="I88" s="56"/>
      <c r="J88" s="56"/>
      <c r="K88" s="56"/>
      <c r="L88" s="56"/>
      <c r="M88" s="55" t="e">
        <f>#REF!*#REF!</f>
        <v>#REF!</v>
      </c>
      <c r="N88" s="56"/>
      <c r="O88" s="56"/>
      <c r="Q88" s="101"/>
    </row>
    <row r="89" spans="1:17" s="57" customFormat="1" x14ac:dyDescent="0.25">
      <c r="A89" s="1" t="e">
        <f ca="1">IF(B89&gt;0,SUM(MAX($A$14:A81),1),0)</f>
        <v>#REF!</v>
      </c>
      <c r="B89" s="120">
        <f>B88+1</f>
        <v>15</v>
      </c>
      <c r="C89" s="121" t="s">
        <v>148</v>
      </c>
      <c r="D89" s="120">
        <v>7</v>
      </c>
      <c r="E89" s="123">
        <v>980</v>
      </c>
      <c r="F89" s="121"/>
      <c r="G89" s="120" t="s">
        <v>26</v>
      </c>
      <c r="H89" s="55"/>
      <c r="I89" s="56"/>
      <c r="J89" s="56"/>
      <c r="K89" s="56"/>
      <c r="L89" s="56"/>
      <c r="M89" s="55" t="e">
        <f>#REF!*#REF!</f>
        <v>#REF!</v>
      </c>
      <c r="N89" s="56"/>
      <c r="O89" s="56"/>
      <c r="Q89" s="101"/>
    </row>
    <row r="90" spans="1:17" s="57" customFormat="1" x14ac:dyDescent="0.25">
      <c r="A90" s="1" t="e">
        <f ca="1">IF(B90&gt;0,SUM(MAX($A$14:A99),1),0)</f>
        <v>#REF!</v>
      </c>
      <c r="B90" s="238">
        <f>B89+1</f>
        <v>16</v>
      </c>
      <c r="C90" s="121" t="s">
        <v>262</v>
      </c>
      <c r="D90" s="120">
        <v>1</v>
      </c>
      <c r="E90" s="123">
        <v>1400</v>
      </c>
      <c r="F90" s="121"/>
      <c r="G90" s="238" t="s">
        <v>26</v>
      </c>
      <c r="H90" s="55"/>
      <c r="I90" s="56"/>
      <c r="J90" s="56"/>
      <c r="K90" s="56"/>
      <c r="L90" s="56"/>
      <c r="M90" s="55" t="e">
        <f>#REF!*#REF!+#REF!*#REF!</f>
        <v>#REF!</v>
      </c>
      <c r="N90" s="56"/>
      <c r="O90" s="56"/>
      <c r="Q90" s="101"/>
    </row>
    <row r="91" spans="1:17" s="57" customFormat="1" x14ac:dyDescent="0.25">
      <c r="A91" s="1">
        <f>IF(B91&gt;0,SUM(MAX($A$14:A90),1),0)</f>
        <v>0</v>
      </c>
      <c r="B91" s="238"/>
      <c r="C91" s="121" t="s">
        <v>260</v>
      </c>
      <c r="D91" s="120">
        <v>4</v>
      </c>
      <c r="E91" s="123">
        <v>980</v>
      </c>
      <c r="F91" s="121"/>
      <c r="G91" s="238"/>
      <c r="H91" s="55"/>
      <c r="I91" s="56"/>
      <c r="J91" s="56"/>
      <c r="K91" s="56"/>
      <c r="L91" s="56"/>
      <c r="M91" s="55"/>
      <c r="N91" s="56"/>
      <c r="O91" s="56"/>
    </row>
    <row r="92" spans="1:17" s="57" customFormat="1" x14ac:dyDescent="0.25">
      <c r="A92" s="1" t="e">
        <f ca="1">IF(B92&gt;0,SUM(MAX($A$14:A89),1),0)</f>
        <v>#REF!</v>
      </c>
      <c r="B92" s="120">
        <f>B90+1</f>
        <v>17</v>
      </c>
      <c r="C92" s="121" t="s">
        <v>221</v>
      </c>
      <c r="D92" s="120">
        <v>4</v>
      </c>
      <c r="E92" s="123">
        <v>4000</v>
      </c>
      <c r="F92" s="121"/>
      <c r="G92" s="120" t="s">
        <v>26</v>
      </c>
      <c r="H92" s="55"/>
      <c r="I92" s="56"/>
      <c r="J92" s="56"/>
      <c r="K92" s="56"/>
      <c r="L92" s="56"/>
      <c r="M92" s="55" t="e">
        <f>#REF!*#REF!</f>
        <v>#REF!</v>
      </c>
      <c r="N92" s="56"/>
      <c r="O92" s="56"/>
      <c r="Q92" s="101"/>
    </row>
    <row r="93" spans="1:17" s="57" customFormat="1" x14ac:dyDescent="0.25">
      <c r="A93" s="1" t="e">
        <f ca="1">IF(B93&gt;0,SUM(MAX($A$14:A99),1),0)</f>
        <v>#REF!</v>
      </c>
      <c r="B93" s="238">
        <f>B92+1</f>
        <v>18</v>
      </c>
      <c r="C93" s="121" t="s">
        <v>256</v>
      </c>
      <c r="D93" s="120">
        <v>5</v>
      </c>
      <c r="E93" s="123">
        <v>4000</v>
      </c>
      <c r="F93" s="121"/>
      <c r="G93" s="238" t="s">
        <v>26</v>
      </c>
      <c r="H93" s="55"/>
      <c r="I93" s="56"/>
      <c r="J93" s="56"/>
      <c r="K93" s="56"/>
      <c r="L93" s="56"/>
      <c r="M93" s="55" t="e">
        <f>#REF!*#REF!+#REF!*#REF!</f>
        <v>#REF!</v>
      </c>
      <c r="N93" s="56"/>
      <c r="O93" s="56"/>
      <c r="Q93" s="101"/>
    </row>
    <row r="94" spans="1:17" s="57" customFormat="1" x14ac:dyDescent="0.25">
      <c r="A94" s="1">
        <f>IF(B94&gt;0,SUM(MAX($A$14:A93),1),0)</f>
        <v>0</v>
      </c>
      <c r="B94" s="238"/>
      <c r="C94" s="121" t="s">
        <v>259</v>
      </c>
      <c r="D94" s="120">
        <v>2</v>
      </c>
      <c r="E94" s="123">
        <v>1000</v>
      </c>
      <c r="F94" s="121"/>
      <c r="G94" s="238"/>
      <c r="H94" s="55"/>
      <c r="I94" s="56"/>
      <c r="J94" s="56"/>
      <c r="K94" s="56"/>
      <c r="L94" s="56"/>
      <c r="M94" s="55"/>
      <c r="N94" s="56"/>
      <c r="O94" s="56"/>
    </row>
    <row r="95" spans="1:17" s="57" customFormat="1" x14ac:dyDescent="0.25">
      <c r="A95" s="1" t="e">
        <f ca="1">IF(B95&gt;0,SUM(MAX($A$14:A99),1),0)</f>
        <v>#REF!</v>
      </c>
      <c r="B95" s="238">
        <f>B93+1</f>
        <v>19</v>
      </c>
      <c r="C95" s="242" t="s">
        <v>264</v>
      </c>
      <c r="D95" s="120">
        <v>3</v>
      </c>
      <c r="E95" s="123">
        <v>2000</v>
      </c>
      <c r="F95" s="121"/>
      <c r="G95" s="238" t="s">
        <v>26</v>
      </c>
      <c r="H95" s="55"/>
      <c r="I95" s="56"/>
      <c r="J95" s="56"/>
      <c r="K95" s="56"/>
      <c r="L95" s="56"/>
      <c r="M95" s="55" t="e">
        <f>#REF!*#REF!+#REF!*#REF!+#REF!*#REF!</f>
        <v>#REF!</v>
      </c>
      <c r="N95" s="56"/>
      <c r="O95" s="56"/>
      <c r="Q95" s="101"/>
    </row>
    <row r="96" spans="1:17" s="57" customFormat="1" x14ac:dyDescent="0.25">
      <c r="A96" s="1">
        <f>IF(B96&gt;0,SUM(MAX($A$14:A95),1),0)</f>
        <v>0</v>
      </c>
      <c r="B96" s="238"/>
      <c r="C96" s="242"/>
      <c r="D96" s="120">
        <v>1</v>
      </c>
      <c r="E96" s="123">
        <v>1200</v>
      </c>
      <c r="F96" s="121"/>
      <c r="G96" s="238"/>
      <c r="H96" s="55"/>
      <c r="I96" s="56"/>
      <c r="J96" s="56"/>
      <c r="K96" s="56"/>
      <c r="L96" s="56"/>
      <c r="M96" s="55"/>
      <c r="N96" s="56"/>
      <c r="O96" s="56"/>
    </row>
    <row r="97" spans="1:17" s="57" customFormat="1" x14ac:dyDescent="0.25">
      <c r="A97" s="1">
        <f>IF(B97&gt;0,SUM(MAX($A$14:A96),1),0)</f>
        <v>0</v>
      </c>
      <c r="B97" s="238"/>
      <c r="C97" s="121" t="s">
        <v>267</v>
      </c>
      <c r="D97" s="120">
        <v>1</v>
      </c>
      <c r="E97" s="123">
        <v>1200</v>
      </c>
      <c r="F97" s="121"/>
      <c r="G97" s="238"/>
      <c r="H97" s="55"/>
      <c r="I97" s="56"/>
      <c r="J97" s="56"/>
      <c r="K97" s="56"/>
      <c r="L97" s="56"/>
      <c r="M97" s="55"/>
      <c r="N97" s="56"/>
      <c r="O97" s="56"/>
    </row>
    <row r="98" spans="1:17" s="57" customFormat="1" x14ac:dyDescent="0.25">
      <c r="A98" s="1" t="e">
        <f ca="1">IF(B98&gt;0,SUM(MAX($A$14:A156),1),0)</f>
        <v>#REF!</v>
      </c>
      <c r="B98" s="238">
        <f>B95+1</f>
        <v>20</v>
      </c>
      <c r="C98" s="121" t="s">
        <v>253</v>
      </c>
      <c r="D98" s="120">
        <v>6</v>
      </c>
      <c r="E98" s="123">
        <v>3700</v>
      </c>
      <c r="F98" s="121"/>
      <c r="G98" s="238" t="s">
        <v>26</v>
      </c>
      <c r="H98" s="55"/>
      <c r="I98" s="56"/>
      <c r="J98" s="56"/>
      <c r="K98" s="56"/>
      <c r="L98" s="56"/>
      <c r="M98" s="55" t="e">
        <f>#REF!*#REF!+#REF!*#REF!</f>
        <v>#REF!</v>
      </c>
      <c r="N98" s="56"/>
      <c r="O98" s="56"/>
      <c r="Q98" s="101"/>
    </row>
    <row r="99" spans="1:17" s="57" customFormat="1" x14ac:dyDescent="0.25">
      <c r="A99" s="1">
        <f>IF(B99&gt;0,SUM(MAX($A$14:A98),1),0)</f>
        <v>0</v>
      </c>
      <c r="B99" s="238"/>
      <c r="C99" s="121" t="s">
        <v>255</v>
      </c>
      <c r="D99" s="120">
        <v>1</v>
      </c>
      <c r="E99" s="123">
        <v>1200</v>
      </c>
      <c r="F99" s="121"/>
      <c r="G99" s="238"/>
      <c r="H99" s="55"/>
      <c r="I99" s="56"/>
      <c r="J99" s="56"/>
      <c r="K99" s="56"/>
      <c r="L99" s="56"/>
      <c r="M99" s="55"/>
      <c r="N99" s="56"/>
      <c r="O99" s="56"/>
    </row>
    <row r="100" spans="1:17" s="57" customFormat="1" x14ac:dyDescent="0.25">
      <c r="A100" s="1" t="e">
        <f ca="1">IF(B100&gt;0,SUM(MAX($A$14:A99),1),0)</f>
        <v>#REF!</v>
      </c>
      <c r="B100" s="238">
        <f>B98+1</f>
        <v>21</v>
      </c>
      <c r="C100" s="242" t="s">
        <v>268</v>
      </c>
      <c r="D100" s="120">
        <v>2</v>
      </c>
      <c r="E100" s="123">
        <v>2000</v>
      </c>
      <c r="F100" s="121"/>
      <c r="G100" s="238" t="s">
        <v>26</v>
      </c>
      <c r="H100" s="55"/>
      <c r="I100" s="56"/>
      <c r="J100" s="56"/>
      <c r="K100" s="56"/>
      <c r="L100" s="56"/>
      <c r="M100" s="55" t="e">
        <f>#REF!*#REF!+#REF!*#REF!</f>
        <v>#REF!</v>
      </c>
      <c r="N100" s="56"/>
      <c r="O100" s="56"/>
      <c r="Q100" s="101"/>
    </row>
    <row r="101" spans="1:17" s="57" customFormat="1" x14ac:dyDescent="0.25">
      <c r="A101" s="1">
        <f>IF(B101&gt;0,SUM(MAX($A$14:A100),1),0)</f>
        <v>0</v>
      </c>
      <c r="B101" s="238"/>
      <c r="C101" s="242"/>
      <c r="D101" s="120">
        <v>1</v>
      </c>
      <c r="E101" s="123">
        <v>1200</v>
      </c>
      <c r="F101" s="121"/>
      <c r="G101" s="238"/>
      <c r="H101" s="55"/>
      <c r="I101" s="56"/>
      <c r="J101" s="56"/>
      <c r="K101" s="56"/>
      <c r="L101" s="56"/>
      <c r="M101" s="55"/>
      <c r="N101" s="56"/>
      <c r="O101" s="56"/>
    </row>
    <row r="102" spans="1:17" s="57" customFormat="1" x14ac:dyDescent="0.25">
      <c r="A102" s="1" t="e">
        <f ca="1">IF(B102&gt;0,SUM(MAX($A$14:A103),1),0)</f>
        <v>#REF!</v>
      </c>
      <c r="B102" s="120">
        <f>B100+1</f>
        <v>22</v>
      </c>
      <c r="C102" s="121" t="s">
        <v>251</v>
      </c>
      <c r="D102" s="120">
        <v>6</v>
      </c>
      <c r="E102" s="123">
        <v>980</v>
      </c>
      <c r="F102" s="121"/>
      <c r="G102" s="120" t="s">
        <v>26</v>
      </c>
      <c r="H102" s="55"/>
      <c r="I102" s="56"/>
      <c r="J102" s="56"/>
      <c r="K102" s="56"/>
      <c r="L102" s="56"/>
      <c r="M102" s="55" t="e">
        <f>#REF!*#REF!</f>
        <v>#REF!</v>
      </c>
      <c r="N102" s="56"/>
      <c r="O102" s="56"/>
      <c r="Q102" s="101"/>
    </row>
    <row r="103" spans="1:17" s="57" customFormat="1" x14ac:dyDescent="0.25">
      <c r="A103" s="1" t="e">
        <f ca="1">IF(B103&gt;0,SUM(MAX($A$14:A156),1),0)</f>
        <v>#REF!</v>
      </c>
      <c r="B103" s="120">
        <f>B102+1</f>
        <v>23</v>
      </c>
      <c r="C103" s="121" t="s">
        <v>249</v>
      </c>
      <c r="D103" s="120">
        <v>10</v>
      </c>
      <c r="E103" s="123">
        <v>8000</v>
      </c>
      <c r="F103" s="121"/>
      <c r="G103" s="120" t="s">
        <v>26</v>
      </c>
      <c r="H103" s="55"/>
      <c r="I103" s="56"/>
      <c r="J103" s="56"/>
      <c r="K103" s="56"/>
      <c r="L103" s="56"/>
      <c r="M103" s="55" t="e">
        <f>#REF!*#REF!</f>
        <v>#REF!</v>
      </c>
      <c r="N103" s="56"/>
      <c r="O103" s="56"/>
      <c r="Q103" s="101"/>
    </row>
    <row r="104" spans="1:17" s="57" customFormat="1" x14ac:dyDescent="0.25">
      <c r="A104" s="1"/>
      <c r="B104" s="238">
        <f>B103+1</f>
        <v>24</v>
      </c>
      <c r="C104" s="121" t="s">
        <v>245</v>
      </c>
      <c r="D104" s="120">
        <v>14</v>
      </c>
      <c r="E104" s="123">
        <v>4000</v>
      </c>
      <c r="F104" s="121"/>
      <c r="G104" s="238" t="s">
        <v>26</v>
      </c>
      <c r="H104" s="55"/>
      <c r="I104" s="56"/>
      <c r="J104" s="56"/>
      <c r="K104" s="56"/>
      <c r="L104" s="56"/>
      <c r="M104" s="55" t="e">
        <f>#REF!*#REF!+#REF!*#REF!</f>
        <v>#REF!</v>
      </c>
      <c r="N104" s="56"/>
      <c r="O104" s="56"/>
      <c r="Q104" s="101"/>
    </row>
    <row r="105" spans="1:17" s="57" customFormat="1" x14ac:dyDescent="0.25">
      <c r="A105" s="1">
        <f>IF(B105&gt;0,SUM(MAX($A$14:A147),1),0)</f>
        <v>0</v>
      </c>
      <c r="B105" s="238"/>
      <c r="C105" s="121" t="s">
        <v>248</v>
      </c>
      <c r="D105" s="120">
        <v>8</v>
      </c>
      <c r="E105" s="123">
        <v>1400</v>
      </c>
      <c r="F105" s="121"/>
      <c r="G105" s="238"/>
      <c r="H105" s="55"/>
      <c r="I105" s="56"/>
      <c r="J105" s="56"/>
      <c r="K105" s="56"/>
      <c r="L105" s="56"/>
      <c r="M105" s="55"/>
      <c r="N105" s="56"/>
      <c r="O105" s="56"/>
    </row>
    <row r="106" spans="1:17" s="57" customFormat="1" x14ac:dyDescent="0.25">
      <c r="A106" s="1" t="e">
        <f ca="1">IF(B106&gt;0,SUM(MAX($A$14:A156),1),0)</f>
        <v>#REF!</v>
      </c>
      <c r="B106" s="120">
        <f>B104+1</f>
        <v>25</v>
      </c>
      <c r="C106" s="121" t="s">
        <v>270</v>
      </c>
      <c r="D106" s="120">
        <v>5</v>
      </c>
      <c r="E106" s="123">
        <v>980</v>
      </c>
      <c r="F106" s="121"/>
      <c r="G106" s="120" t="s">
        <v>26</v>
      </c>
      <c r="H106" s="55"/>
      <c r="I106" s="56"/>
      <c r="J106" s="56"/>
      <c r="K106" s="56"/>
      <c r="L106" s="56"/>
      <c r="M106" s="55" t="e">
        <f>#REF!*#REF!</f>
        <v>#REF!</v>
      </c>
      <c r="N106" s="56"/>
      <c r="O106" s="56"/>
      <c r="Q106" s="101"/>
    </row>
    <row r="107" spans="1:17" s="57" customFormat="1" x14ac:dyDescent="0.25">
      <c r="A107" s="1" t="e">
        <f ca="1">IF(B107&gt;0,SUM(MAX($A$14:A156),1),0)</f>
        <v>#REF!</v>
      </c>
      <c r="B107" s="238">
        <f>B106+1</f>
        <v>26</v>
      </c>
      <c r="C107" s="121" t="s">
        <v>272</v>
      </c>
      <c r="D107" s="120">
        <v>6</v>
      </c>
      <c r="E107" s="123">
        <v>4000</v>
      </c>
      <c r="F107" s="121"/>
      <c r="G107" s="238" t="s">
        <v>26</v>
      </c>
      <c r="H107" s="55"/>
      <c r="I107" s="56"/>
      <c r="J107" s="56"/>
      <c r="K107" s="56"/>
      <c r="L107" s="56"/>
      <c r="M107" s="55" t="e">
        <f>#REF!*#REF!+#REF!*#REF!</f>
        <v>#REF!</v>
      </c>
      <c r="N107" s="56"/>
      <c r="O107" s="56"/>
      <c r="Q107" s="101"/>
    </row>
    <row r="108" spans="1:17" s="57" customFormat="1" x14ac:dyDescent="0.25">
      <c r="A108" s="1">
        <f>IF(B108&gt;0,SUM(MAX($A$14:A107),1),0)</f>
        <v>0</v>
      </c>
      <c r="B108" s="238"/>
      <c r="C108" s="121" t="s">
        <v>274</v>
      </c>
      <c r="D108" s="120">
        <v>3</v>
      </c>
      <c r="E108" s="123">
        <v>1000</v>
      </c>
      <c r="F108" s="121"/>
      <c r="G108" s="238"/>
      <c r="H108" s="55"/>
      <c r="I108" s="56"/>
      <c r="J108" s="56"/>
      <c r="K108" s="56"/>
      <c r="L108" s="56"/>
      <c r="M108" s="55"/>
      <c r="N108" s="56"/>
      <c r="O108" s="56"/>
    </row>
    <row r="109" spans="1:17" s="57" customFormat="1" x14ac:dyDescent="0.25">
      <c r="A109" s="1" t="e">
        <f ca="1">IF(B109&gt;0,SUM(MAX($A$14:A157),1),0)</f>
        <v>#REF!</v>
      </c>
      <c r="B109" s="238">
        <f>B107+1</f>
        <v>27</v>
      </c>
      <c r="C109" s="242" t="s">
        <v>283</v>
      </c>
      <c r="D109" s="120">
        <v>2</v>
      </c>
      <c r="E109" s="123">
        <v>2500</v>
      </c>
      <c r="F109" s="121"/>
      <c r="G109" s="238" t="s">
        <v>26</v>
      </c>
      <c r="H109" s="55"/>
      <c r="I109" s="56"/>
      <c r="J109" s="56"/>
      <c r="K109" s="56"/>
      <c r="L109" s="56"/>
      <c r="M109" s="55" t="e">
        <f>#REF!*#REF!+#REF!*#REF!</f>
        <v>#REF!</v>
      </c>
      <c r="N109" s="56"/>
      <c r="O109" s="56"/>
      <c r="Q109" s="101"/>
    </row>
    <row r="110" spans="1:17" s="57" customFormat="1" x14ac:dyDescent="0.25">
      <c r="A110" s="1">
        <f>IF(B110&gt;0,SUM(MAX($A$14:A109),1),0)</f>
        <v>0</v>
      </c>
      <c r="B110" s="238"/>
      <c r="C110" s="242"/>
      <c r="D110" s="120">
        <v>6</v>
      </c>
      <c r="E110" s="123">
        <v>980</v>
      </c>
      <c r="F110" s="121"/>
      <c r="G110" s="238"/>
      <c r="H110" s="55"/>
      <c r="I110" s="56"/>
      <c r="J110" s="56"/>
      <c r="K110" s="56"/>
      <c r="L110" s="56"/>
      <c r="M110" s="55"/>
      <c r="N110" s="56"/>
      <c r="O110" s="56"/>
    </row>
    <row r="111" spans="1:17" s="57" customFormat="1" x14ac:dyDescent="0.25">
      <c r="A111" s="1" t="e">
        <f ca="1">IF(B111&gt;0,SUM(MAX($A$14:A156),1),0)</f>
        <v>#REF!</v>
      </c>
      <c r="B111" s="120">
        <f>B109+1</f>
        <v>28</v>
      </c>
      <c r="C111" s="121" t="s">
        <v>282</v>
      </c>
      <c r="D111" s="120">
        <v>2</v>
      </c>
      <c r="E111" s="123">
        <v>980</v>
      </c>
      <c r="F111" s="121"/>
      <c r="G111" s="120" t="s">
        <v>26</v>
      </c>
      <c r="H111" s="55"/>
      <c r="I111" s="56"/>
      <c r="J111" s="56"/>
      <c r="K111" s="56"/>
      <c r="L111" s="56"/>
      <c r="M111" s="55" t="e">
        <f>#REF!*#REF!</f>
        <v>#REF!</v>
      </c>
      <c r="N111" s="56"/>
      <c r="O111" s="56"/>
      <c r="Q111" s="101"/>
    </row>
    <row r="112" spans="1:17" s="57" customFormat="1" x14ac:dyDescent="0.25">
      <c r="A112" s="1" t="e">
        <f ca="1">IF(B112&gt;0,SUM(MAX($A$14:A157),1),0)</f>
        <v>#REF!</v>
      </c>
      <c r="B112" s="120">
        <f>B111+1</f>
        <v>29</v>
      </c>
      <c r="C112" s="121" t="s">
        <v>302</v>
      </c>
      <c r="D112" s="120">
        <v>2</v>
      </c>
      <c r="E112" s="123">
        <v>980</v>
      </c>
      <c r="F112" s="121"/>
      <c r="G112" s="120" t="s">
        <v>26</v>
      </c>
      <c r="H112" s="55"/>
      <c r="I112" s="56"/>
      <c r="J112" s="56"/>
      <c r="K112" s="56"/>
      <c r="L112" s="56"/>
      <c r="M112" s="55" t="e">
        <f>#REF!*#REF!</f>
        <v>#REF!</v>
      </c>
      <c r="N112" s="56"/>
      <c r="O112" s="56"/>
      <c r="Q112" s="101"/>
    </row>
    <row r="113" spans="1:17" s="57" customFormat="1" x14ac:dyDescent="0.25">
      <c r="A113" s="1" t="e">
        <f ca="1">IF(B113&gt;0,SUM(MAX($A$14:A157),1),0)</f>
        <v>#REF!</v>
      </c>
      <c r="B113" s="238">
        <f>B112+1</f>
        <v>30</v>
      </c>
      <c r="C113" s="242" t="s">
        <v>287</v>
      </c>
      <c r="D113" s="120">
        <v>3</v>
      </c>
      <c r="E113" s="123">
        <v>1200</v>
      </c>
      <c r="F113" s="121"/>
      <c r="G113" s="238" t="s">
        <v>26</v>
      </c>
      <c r="H113" s="55"/>
      <c r="I113" s="56"/>
      <c r="J113" s="56"/>
      <c r="K113" s="56"/>
      <c r="L113" s="56"/>
      <c r="M113" s="55" t="e">
        <f>#REF!*#REF!+#REF!*#REF!</f>
        <v>#REF!</v>
      </c>
      <c r="N113" s="56"/>
      <c r="O113" s="56"/>
      <c r="Q113" s="101"/>
    </row>
    <row r="114" spans="1:17" s="57" customFormat="1" x14ac:dyDescent="0.25">
      <c r="A114" s="1">
        <f>IF(B114&gt;0,SUM(MAX($A$14:A113),1),0)</f>
        <v>0</v>
      </c>
      <c r="B114" s="238"/>
      <c r="C114" s="242"/>
      <c r="D114" s="120">
        <v>2</v>
      </c>
      <c r="E114" s="123">
        <v>980</v>
      </c>
      <c r="F114" s="121"/>
      <c r="G114" s="238"/>
      <c r="H114" s="55"/>
      <c r="I114" s="56"/>
      <c r="J114" s="56"/>
      <c r="K114" s="56"/>
      <c r="L114" s="56"/>
      <c r="M114" s="55"/>
      <c r="N114" s="56"/>
      <c r="O114" s="56"/>
    </row>
    <row r="115" spans="1:17" s="57" customFormat="1" ht="22.5" customHeight="1" x14ac:dyDescent="0.25">
      <c r="A115" s="1" t="e">
        <f ca="1">IF(B115&gt;0,SUM(MAX($A$14:A157),1),0)</f>
        <v>#REF!</v>
      </c>
      <c r="B115" s="120">
        <f>B113+1</f>
        <v>31</v>
      </c>
      <c r="C115" s="121" t="s">
        <v>300</v>
      </c>
      <c r="D115" s="120">
        <v>6</v>
      </c>
      <c r="E115" s="123">
        <v>980</v>
      </c>
      <c r="F115" s="121"/>
      <c r="G115" s="120" t="s">
        <v>26</v>
      </c>
      <c r="H115" s="55"/>
      <c r="I115" s="56"/>
      <c r="J115" s="56"/>
      <c r="K115" s="56"/>
      <c r="L115" s="56"/>
      <c r="M115" s="55" t="e">
        <f>#REF!*#REF!</f>
        <v>#REF!</v>
      </c>
      <c r="N115" s="56"/>
      <c r="O115" s="56"/>
      <c r="Q115" s="101"/>
    </row>
    <row r="116" spans="1:17" s="57" customFormat="1" ht="18.75" customHeight="1" x14ac:dyDescent="0.25">
      <c r="A116" s="1" t="e">
        <f ca="1">IF(B116&gt;0,SUM(MAX($A$14:A157),1),0)</f>
        <v>#REF!</v>
      </c>
      <c r="B116" s="120">
        <f>B115+1</f>
        <v>32</v>
      </c>
      <c r="C116" s="121" t="s">
        <v>294</v>
      </c>
      <c r="D116" s="120">
        <v>1</v>
      </c>
      <c r="E116" s="123">
        <v>1200</v>
      </c>
      <c r="F116" s="121"/>
      <c r="G116" s="120" t="s">
        <v>26</v>
      </c>
      <c r="H116" s="55"/>
      <c r="I116" s="56"/>
      <c r="J116" s="56"/>
      <c r="K116" s="56"/>
      <c r="L116" s="56"/>
      <c r="M116" s="55" t="e">
        <f>#REF!*#REF!</f>
        <v>#REF!</v>
      </c>
      <c r="N116" s="56"/>
      <c r="O116" s="56"/>
      <c r="Q116" s="101"/>
    </row>
    <row r="117" spans="1:17" s="57" customFormat="1" ht="18.75" customHeight="1" x14ac:dyDescent="0.25">
      <c r="A117" s="1" t="e">
        <f ca="1">IF(B117&gt;0,SUM(MAX($A$14:A157),1),0)</f>
        <v>#REF!</v>
      </c>
      <c r="B117" s="120">
        <f>B116+1</f>
        <v>33</v>
      </c>
      <c r="C117" s="121" t="s">
        <v>289</v>
      </c>
      <c r="D117" s="120">
        <v>4</v>
      </c>
      <c r="E117" s="123">
        <v>980</v>
      </c>
      <c r="F117" s="121"/>
      <c r="G117" s="120" t="s">
        <v>26</v>
      </c>
      <c r="H117" s="55"/>
      <c r="I117" s="56"/>
      <c r="J117" s="56"/>
      <c r="K117" s="56"/>
      <c r="L117" s="56"/>
      <c r="M117" s="55" t="e">
        <f>#REF!*#REF!</f>
        <v>#REF!</v>
      </c>
      <c r="N117" s="56"/>
      <c r="O117" s="56"/>
      <c r="Q117" s="101"/>
    </row>
    <row r="118" spans="1:17" s="57" customFormat="1" ht="18.75" customHeight="1" x14ac:dyDescent="0.25">
      <c r="A118" s="1" t="e">
        <f ca="1">IF(B118&gt;0,SUM(MAX($A$14:A157),1),0)</f>
        <v>#REF!</v>
      </c>
      <c r="B118" s="120">
        <f>B117+1</f>
        <v>34</v>
      </c>
      <c r="C118" s="121" t="s">
        <v>296</v>
      </c>
      <c r="D118" s="120">
        <v>6</v>
      </c>
      <c r="E118" s="123">
        <v>1400</v>
      </c>
      <c r="F118" s="121"/>
      <c r="G118" s="120" t="s">
        <v>26</v>
      </c>
      <c r="H118" s="55"/>
      <c r="I118" s="56"/>
      <c r="J118" s="56"/>
      <c r="K118" s="56"/>
      <c r="L118" s="56"/>
      <c r="M118" s="55" t="e">
        <f>#REF!*#REF!</f>
        <v>#REF!</v>
      </c>
      <c r="N118" s="56"/>
      <c r="O118" s="56"/>
      <c r="Q118" s="101"/>
    </row>
    <row r="119" spans="1:17" s="57" customFormat="1" x14ac:dyDescent="0.25">
      <c r="A119" s="1" t="e">
        <f ca="1">IF(B119&gt;0,SUM(MAX($A$14:A126),1),0)</f>
        <v>#REF!</v>
      </c>
      <c r="B119" s="238">
        <f>B118+1</f>
        <v>35</v>
      </c>
      <c r="C119" s="121" t="s">
        <v>231</v>
      </c>
      <c r="D119" s="120">
        <v>4</v>
      </c>
      <c r="E119" s="123">
        <v>980</v>
      </c>
      <c r="F119" s="121"/>
      <c r="G119" s="238" t="s">
        <v>224</v>
      </c>
      <c r="H119" s="55"/>
      <c r="I119" s="56"/>
      <c r="J119" s="56"/>
      <c r="K119" s="56"/>
      <c r="L119" s="56"/>
      <c r="M119" s="55" t="e">
        <f>#REF!*#REF!+#REF!*#REF!</f>
        <v>#REF!</v>
      </c>
      <c r="N119" s="56"/>
      <c r="O119" s="56"/>
    </row>
    <row r="120" spans="1:17" s="57" customFormat="1" x14ac:dyDescent="0.25">
      <c r="A120" s="1">
        <f>IF(B120&gt;0,SUM(MAX($A$14:A119),1),0)</f>
        <v>0</v>
      </c>
      <c r="B120" s="238"/>
      <c r="C120" s="121" t="s">
        <v>233</v>
      </c>
      <c r="D120" s="120">
        <v>1</v>
      </c>
      <c r="E120" s="123">
        <v>1400</v>
      </c>
      <c r="F120" s="121"/>
      <c r="G120" s="238"/>
      <c r="H120" s="55"/>
      <c r="I120" s="56"/>
      <c r="J120" s="56"/>
      <c r="K120" s="56"/>
      <c r="L120" s="56"/>
      <c r="M120" s="55"/>
      <c r="N120" s="56"/>
      <c r="O120" s="56"/>
    </row>
    <row r="121" spans="1:17" s="57" customFormat="1" ht="22.5" customHeight="1" x14ac:dyDescent="0.25">
      <c r="A121" s="1" t="e">
        <f ca="1">IF(B121&gt;0,SUM(MAX($A$14:A126),1),0)</f>
        <v>#REF!</v>
      </c>
      <c r="B121" s="120">
        <f>B119+1</f>
        <v>36</v>
      </c>
      <c r="C121" s="121" t="s">
        <v>228</v>
      </c>
      <c r="D121" s="120">
        <v>3</v>
      </c>
      <c r="E121" s="123">
        <v>980</v>
      </c>
      <c r="F121" s="121"/>
      <c r="G121" s="120" t="s">
        <v>224</v>
      </c>
      <c r="H121" s="55"/>
      <c r="I121" s="56"/>
      <c r="J121" s="56"/>
      <c r="K121" s="56"/>
      <c r="L121" s="56"/>
      <c r="M121" s="55" t="e">
        <f>#REF!*#REF!</f>
        <v>#REF!</v>
      </c>
      <c r="N121" s="56"/>
      <c r="O121" s="56"/>
    </row>
    <row r="122" spans="1:17" s="57" customFormat="1" x14ac:dyDescent="0.25">
      <c r="A122" s="1" t="e">
        <f ca="1">IF(B122&gt;0,SUM(MAX($A$14:A92),1),0)</f>
        <v>#REF!</v>
      </c>
      <c r="B122" s="238">
        <f>B121+1</f>
        <v>37</v>
      </c>
      <c r="C122" s="242" t="s">
        <v>223</v>
      </c>
      <c r="D122" s="120">
        <v>3</v>
      </c>
      <c r="E122" s="123">
        <v>980</v>
      </c>
      <c r="F122" s="121"/>
      <c r="G122" s="238" t="s">
        <v>224</v>
      </c>
      <c r="H122" s="55"/>
      <c r="I122" s="56"/>
      <c r="J122" s="56"/>
      <c r="K122" s="56"/>
      <c r="L122" s="56"/>
      <c r="M122" s="55" t="e">
        <f>#REF!*#REF!+#REF!*#REF!</f>
        <v>#REF!</v>
      </c>
      <c r="N122" s="56"/>
      <c r="O122" s="56"/>
    </row>
    <row r="123" spans="1:17" s="57" customFormat="1" x14ac:dyDescent="0.25">
      <c r="A123" s="1">
        <f>IF(B123&gt;0,SUM(MAX($A$14:A122),1),0)</f>
        <v>0</v>
      </c>
      <c r="B123" s="238"/>
      <c r="C123" s="242"/>
      <c r="D123" s="120">
        <v>1</v>
      </c>
      <c r="E123" s="123">
        <v>1000</v>
      </c>
      <c r="F123" s="121"/>
      <c r="G123" s="238"/>
      <c r="H123" s="55"/>
      <c r="I123" s="56"/>
      <c r="J123" s="56"/>
      <c r="K123" s="56"/>
      <c r="L123" s="56"/>
      <c r="M123" s="55"/>
      <c r="N123" s="56"/>
      <c r="O123" s="56"/>
    </row>
    <row r="124" spans="1:17" s="57" customFormat="1" x14ac:dyDescent="0.25">
      <c r="A124" s="1" t="e">
        <f ca="1">IF(B124&gt;0,SUM(MAX($A$14:A123),1),0)</f>
        <v>#REF!</v>
      </c>
      <c r="B124" s="238">
        <f>B122+1</f>
        <v>38</v>
      </c>
      <c r="C124" s="242" t="s">
        <v>207</v>
      </c>
      <c r="D124" s="120">
        <v>5</v>
      </c>
      <c r="E124" s="123">
        <v>960</v>
      </c>
      <c r="F124" s="121"/>
      <c r="G124" s="238" t="s">
        <v>224</v>
      </c>
      <c r="H124" s="55"/>
      <c r="I124" s="56"/>
      <c r="J124" s="56"/>
      <c r="K124" s="56"/>
      <c r="L124" s="56"/>
      <c r="M124" s="55" t="e">
        <f>#REF!*#REF!+#REF!*#REF!+#REF!*#REF!</f>
        <v>#REF!</v>
      </c>
      <c r="N124" s="56"/>
      <c r="O124" s="56"/>
    </row>
    <row r="125" spans="1:17" s="57" customFormat="1" x14ac:dyDescent="0.25">
      <c r="A125" s="1">
        <f>IF(B125&gt;0,SUM(MAX($A$14:A124),1),0)</f>
        <v>0</v>
      </c>
      <c r="B125" s="238"/>
      <c r="C125" s="242"/>
      <c r="D125" s="120">
        <v>5</v>
      </c>
      <c r="E125" s="123">
        <v>800</v>
      </c>
      <c r="F125" s="121"/>
      <c r="G125" s="238"/>
      <c r="H125" s="55"/>
      <c r="I125" s="56"/>
      <c r="J125" s="56"/>
      <c r="K125" s="56"/>
      <c r="L125" s="56"/>
      <c r="M125" s="55"/>
      <c r="N125" s="56"/>
      <c r="O125" s="56"/>
    </row>
    <row r="126" spans="1:17" s="57" customFormat="1" x14ac:dyDescent="0.25">
      <c r="A126" s="1">
        <f>IF(B126&gt;0,SUM(MAX($A$14:A125),1),0)</f>
        <v>0</v>
      </c>
      <c r="B126" s="238"/>
      <c r="C126" s="121" t="s">
        <v>227</v>
      </c>
      <c r="D126" s="120">
        <v>1</v>
      </c>
      <c r="E126" s="123">
        <v>1400</v>
      </c>
      <c r="F126" s="121"/>
      <c r="G126" s="238"/>
      <c r="H126" s="55"/>
      <c r="I126" s="56"/>
      <c r="J126" s="56"/>
      <c r="K126" s="56"/>
      <c r="L126" s="56"/>
      <c r="M126" s="55"/>
      <c r="N126" s="56"/>
      <c r="O126" s="56"/>
    </row>
    <row r="127" spans="1:17" s="57" customFormat="1" x14ac:dyDescent="0.25">
      <c r="A127" s="1" t="e">
        <f ca="1">IF(B127&gt;0,SUM(MAX($A$14:A157),1),0)</f>
        <v>#REF!</v>
      </c>
      <c r="B127" s="120">
        <f>B124+1</f>
        <v>39</v>
      </c>
      <c r="C127" s="121" t="s">
        <v>298</v>
      </c>
      <c r="D127" s="120">
        <v>3</v>
      </c>
      <c r="E127" s="123">
        <v>980</v>
      </c>
      <c r="F127" s="121"/>
      <c r="G127" s="120" t="s">
        <v>158</v>
      </c>
      <c r="H127" s="55"/>
      <c r="I127" s="56"/>
      <c r="J127" s="56"/>
      <c r="K127" s="56"/>
      <c r="L127" s="56"/>
      <c r="M127" s="55" t="e">
        <f>#REF!*#REF!</f>
        <v>#REF!</v>
      </c>
      <c r="N127" s="56"/>
      <c r="O127" s="56"/>
    </row>
    <row r="128" spans="1:17" s="57" customFormat="1" x14ac:dyDescent="0.25">
      <c r="A128" s="1" t="e">
        <f ca="1">IF(B128&gt;0,SUM(MAX($A$14:A157),1),0)</f>
        <v>#REF!</v>
      </c>
      <c r="B128" s="120">
        <f>B127+1</f>
        <v>40</v>
      </c>
      <c r="C128" s="121" t="s">
        <v>304</v>
      </c>
      <c r="D128" s="120">
        <v>3</v>
      </c>
      <c r="E128" s="123">
        <v>980</v>
      </c>
      <c r="F128" s="121"/>
      <c r="G128" s="120" t="s">
        <v>158</v>
      </c>
      <c r="H128" s="55"/>
      <c r="I128" s="56"/>
      <c r="J128" s="56"/>
      <c r="K128" s="56"/>
      <c r="L128" s="56"/>
      <c r="M128" s="55" t="e">
        <f>#REF!*#REF!</f>
        <v>#REF!</v>
      </c>
      <c r="N128" s="56"/>
      <c r="O128" s="56"/>
    </row>
    <row r="129" spans="1:15" s="57" customFormat="1" x14ac:dyDescent="0.25">
      <c r="A129" s="1" t="e">
        <f ca="1">IF(B129&gt;0,SUM(MAX($A$14:A156),1),0)</f>
        <v>#REF!</v>
      </c>
      <c r="B129" s="238">
        <f>B128+1</f>
        <v>41</v>
      </c>
      <c r="C129" s="242" t="s">
        <v>280</v>
      </c>
      <c r="D129" s="120">
        <v>3</v>
      </c>
      <c r="E129" s="123">
        <v>980</v>
      </c>
      <c r="F129" s="121"/>
      <c r="G129" s="238" t="s">
        <v>158</v>
      </c>
      <c r="H129" s="55"/>
      <c r="I129" s="56"/>
      <c r="J129" s="56"/>
      <c r="K129" s="56"/>
      <c r="L129" s="56"/>
      <c r="M129" s="55" t="e">
        <f>#REF!*#REF!+#REF!*#REF!</f>
        <v>#REF!</v>
      </c>
      <c r="N129" s="56"/>
      <c r="O129" s="56"/>
    </row>
    <row r="130" spans="1:15" s="57" customFormat="1" x14ac:dyDescent="0.25">
      <c r="A130" s="1">
        <f>IF(B130&gt;0,SUM(MAX($A$14:A129),1),0)</f>
        <v>0</v>
      </c>
      <c r="B130" s="238"/>
      <c r="C130" s="242"/>
      <c r="D130" s="120">
        <v>2</v>
      </c>
      <c r="E130" s="123">
        <v>960</v>
      </c>
      <c r="F130" s="121"/>
      <c r="G130" s="238"/>
      <c r="H130" s="55"/>
      <c r="I130" s="56"/>
      <c r="J130" s="56"/>
      <c r="K130" s="56"/>
      <c r="L130" s="56"/>
      <c r="M130" s="55"/>
      <c r="N130" s="56"/>
      <c r="O130" s="56"/>
    </row>
    <row r="131" spans="1:15" s="57" customFormat="1" x14ac:dyDescent="0.25">
      <c r="A131" s="1" t="e">
        <f ca="1">IF(B131&gt;0,SUM(MAX($A$14:A157),1),0)</f>
        <v>#REF!</v>
      </c>
      <c r="B131" s="120">
        <f>B129+1</f>
        <v>42</v>
      </c>
      <c r="C131" s="121" t="s">
        <v>292</v>
      </c>
      <c r="D131" s="120">
        <v>4</v>
      </c>
      <c r="E131" s="123">
        <v>1500</v>
      </c>
      <c r="F131" s="121"/>
      <c r="G131" s="120" t="s">
        <v>158</v>
      </c>
      <c r="H131" s="55"/>
      <c r="I131" s="56"/>
      <c r="J131" s="56"/>
      <c r="K131" s="56"/>
      <c r="L131" s="56"/>
      <c r="M131" s="55" t="e">
        <f>#REF!*#REF!</f>
        <v>#REF!</v>
      </c>
      <c r="N131" s="56"/>
      <c r="O131" s="56"/>
    </row>
    <row r="132" spans="1:15" s="57" customFormat="1" x14ac:dyDescent="0.25">
      <c r="A132" s="1" t="e">
        <f ca="1">IF(B132&gt;0,SUM(MAX($A$14:A156),1),0)</f>
        <v>#REF!</v>
      </c>
      <c r="B132" s="120">
        <f>B131+1</f>
        <v>43</v>
      </c>
      <c r="C132" s="121" t="s">
        <v>276</v>
      </c>
      <c r="D132" s="120">
        <v>4</v>
      </c>
      <c r="E132" s="123">
        <v>1400</v>
      </c>
      <c r="F132" s="121"/>
      <c r="G132" s="120" t="s">
        <v>158</v>
      </c>
      <c r="H132" s="55"/>
      <c r="I132" s="56"/>
      <c r="J132" s="56"/>
      <c r="K132" s="56"/>
      <c r="L132" s="56"/>
      <c r="M132" s="55" t="e">
        <f>#REF!*#REF!</f>
        <v>#REF!</v>
      </c>
      <c r="N132" s="56"/>
      <c r="O132" s="56"/>
    </row>
    <row r="133" spans="1:15" s="57" customFormat="1" x14ac:dyDescent="0.25">
      <c r="A133" s="1" t="e">
        <f ca="1">IF(B133&gt;0,SUM(MAX($A$14:A156),1),0)</f>
        <v>#REF!</v>
      </c>
      <c r="B133" s="120">
        <f>B132+1</f>
        <v>44</v>
      </c>
      <c r="C133" s="121" t="s">
        <v>278</v>
      </c>
      <c r="D133" s="120">
        <v>4</v>
      </c>
      <c r="E133" s="123">
        <v>4000</v>
      </c>
      <c r="F133" s="121"/>
      <c r="G133" s="120" t="s">
        <v>158</v>
      </c>
      <c r="H133" s="55"/>
      <c r="I133" s="56"/>
      <c r="J133" s="56"/>
      <c r="K133" s="56"/>
      <c r="L133" s="56"/>
      <c r="M133" s="55" t="e">
        <f>#REF!*#REF!</f>
        <v>#REF!</v>
      </c>
      <c r="N133" s="56"/>
      <c r="O133" s="56"/>
    </row>
    <row r="134" spans="1:15" s="57" customFormat="1" x14ac:dyDescent="0.25">
      <c r="A134" s="1" t="e">
        <f ca="1">IF(B134&gt;0,SUM(MAX($A$14:A182),1),0)</f>
        <v>#REF!</v>
      </c>
      <c r="B134" s="120">
        <f>B133+1</f>
        <v>45</v>
      </c>
      <c r="C134" s="121" t="s">
        <v>331</v>
      </c>
      <c r="D134" s="120">
        <v>4</v>
      </c>
      <c r="E134" s="123">
        <v>4000</v>
      </c>
      <c r="F134" s="121"/>
      <c r="G134" s="120" t="s">
        <v>158</v>
      </c>
      <c r="H134" s="55"/>
      <c r="I134" s="56"/>
      <c r="J134" s="56"/>
      <c r="K134" s="56"/>
      <c r="L134" s="56"/>
      <c r="M134" s="55" t="e">
        <f>#REF!*#REF!</f>
        <v>#REF!</v>
      </c>
      <c r="N134" s="56"/>
      <c r="O134" s="56"/>
    </row>
    <row r="135" spans="1:15" s="57" customFormat="1" ht="16.5" customHeight="1" x14ac:dyDescent="0.25">
      <c r="A135" s="1" t="e">
        <f ca="1">IF(B135&gt;0,SUM(MAX($A$14:A157),1),0)</f>
        <v>#REF!</v>
      </c>
      <c r="B135" s="238">
        <f>B134+1</f>
        <v>46</v>
      </c>
      <c r="C135" s="140" t="s">
        <v>508</v>
      </c>
      <c r="D135" s="120">
        <v>2</v>
      </c>
      <c r="E135" s="123">
        <v>980</v>
      </c>
      <c r="F135" s="140"/>
      <c r="G135" s="238" t="s">
        <v>175</v>
      </c>
      <c r="H135" s="55"/>
      <c r="I135" s="56"/>
      <c r="J135" s="56"/>
      <c r="K135" s="56"/>
      <c r="L135" s="56"/>
      <c r="M135" s="55" t="e">
        <f>#REF!*#REF!+#REF!*#REF!</f>
        <v>#REF!</v>
      </c>
      <c r="N135" s="56"/>
      <c r="O135" s="56"/>
    </row>
    <row r="136" spans="1:15" s="57" customFormat="1" x14ac:dyDescent="0.25">
      <c r="A136" s="1">
        <f>IF(B136&gt;0,SUM(MAX($A$14:A135),1),0)</f>
        <v>0</v>
      </c>
      <c r="B136" s="238"/>
      <c r="C136" s="140" t="s">
        <v>509</v>
      </c>
      <c r="D136" s="120">
        <v>1</v>
      </c>
      <c r="E136" s="123">
        <v>1200</v>
      </c>
      <c r="F136" s="140"/>
      <c r="G136" s="238"/>
      <c r="H136" s="55"/>
      <c r="I136" s="56"/>
      <c r="J136" s="56"/>
      <c r="K136" s="56"/>
      <c r="L136" s="56"/>
      <c r="M136" s="55"/>
      <c r="N136" s="56"/>
      <c r="O136" s="56"/>
    </row>
    <row r="137" spans="1:15" s="57" customFormat="1" x14ac:dyDescent="0.25">
      <c r="A137" s="1" t="e">
        <f ca="1">IF(B137&gt;0,SUM(MAX($A$14:A136),1),0)</f>
        <v>#REF!</v>
      </c>
      <c r="B137" s="238">
        <f>B135+1</f>
        <v>47</v>
      </c>
      <c r="C137" s="242" t="s">
        <v>307</v>
      </c>
      <c r="D137" s="120">
        <v>2</v>
      </c>
      <c r="E137" s="123">
        <v>1200</v>
      </c>
      <c r="F137" s="121"/>
      <c r="G137" s="238" t="s">
        <v>175</v>
      </c>
      <c r="H137" s="55"/>
      <c r="I137" s="56"/>
      <c r="J137" s="56"/>
      <c r="K137" s="56"/>
      <c r="L137" s="56"/>
      <c r="M137" s="55" t="e">
        <f>#REF!*#REF!+#REF!*#REF!</f>
        <v>#REF!</v>
      </c>
      <c r="N137" s="56"/>
      <c r="O137" s="56"/>
    </row>
    <row r="138" spans="1:15" s="57" customFormat="1" x14ac:dyDescent="0.25">
      <c r="A138" s="1">
        <f>IF(B138&gt;0,SUM(MAX($A$14:A137),1),0)</f>
        <v>0</v>
      </c>
      <c r="B138" s="238"/>
      <c r="C138" s="242"/>
      <c r="D138" s="120">
        <v>9</v>
      </c>
      <c r="E138" s="123">
        <v>1000</v>
      </c>
      <c r="F138" s="121"/>
      <c r="G138" s="238"/>
      <c r="H138" s="55"/>
      <c r="I138" s="56"/>
      <c r="J138" s="56"/>
      <c r="K138" s="56"/>
      <c r="L138" s="56"/>
      <c r="M138" s="55"/>
      <c r="N138" s="56"/>
      <c r="O138" s="56"/>
    </row>
    <row r="139" spans="1:15" s="57" customFormat="1" x14ac:dyDescent="0.25">
      <c r="A139" s="1" t="e">
        <f ca="1">IF(B139&gt;0,SUM(MAX($A$14:A176),1),0)</f>
        <v>#REF!</v>
      </c>
      <c r="B139" s="120">
        <f>B137+1</f>
        <v>48</v>
      </c>
      <c r="C139" s="121" t="s">
        <v>324</v>
      </c>
      <c r="D139" s="120">
        <v>2</v>
      </c>
      <c r="E139" s="123">
        <v>980</v>
      </c>
      <c r="F139" s="121"/>
      <c r="G139" s="120" t="s">
        <v>175</v>
      </c>
      <c r="H139" s="55"/>
      <c r="I139" s="56"/>
      <c r="J139" s="56"/>
      <c r="K139" s="56"/>
      <c r="L139" s="56"/>
      <c r="M139" s="55" t="e">
        <f>#REF!*#REF!</f>
        <v>#REF!</v>
      </c>
      <c r="N139" s="56"/>
      <c r="O139" s="56"/>
    </row>
    <row r="140" spans="1:15" s="57" customFormat="1" x14ac:dyDescent="0.25">
      <c r="A140" s="1" t="e">
        <f ca="1">IF(B140&gt;0,SUM(MAX($A$14:A188),1),0)</f>
        <v>#REF!</v>
      </c>
      <c r="B140" s="120">
        <f>B139+1</f>
        <v>49</v>
      </c>
      <c r="C140" s="121" t="s">
        <v>337</v>
      </c>
      <c r="D140" s="120">
        <v>3</v>
      </c>
      <c r="E140" s="123">
        <v>1400</v>
      </c>
      <c r="F140" s="121"/>
      <c r="G140" s="120" t="s">
        <v>175</v>
      </c>
      <c r="H140" s="55"/>
      <c r="I140" s="56"/>
      <c r="J140" s="56"/>
      <c r="K140" s="56"/>
      <c r="L140" s="56"/>
      <c r="M140" s="55" t="e">
        <f>#REF!*#REF!</f>
        <v>#REF!</v>
      </c>
      <c r="N140" s="56"/>
      <c r="O140" s="56"/>
    </row>
    <row r="141" spans="1:15" s="53" customFormat="1" x14ac:dyDescent="0.25">
      <c r="A141" s="1" t="e">
        <f ca="1">IF(B141&gt;0,SUM(MAX($A$14:A140),1),0)</f>
        <v>#REF!</v>
      </c>
      <c r="B141" s="238">
        <f>B140+1</f>
        <v>50</v>
      </c>
      <c r="C141" s="242" t="s">
        <v>338</v>
      </c>
      <c r="D141" s="120">
        <v>1</v>
      </c>
      <c r="E141" s="123">
        <v>1200</v>
      </c>
      <c r="F141" s="121"/>
      <c r="G141" s="238" t="s">
        <v>175</v>
      </c>
      <c r="H141" s="51"/>
      <c r="I141" s="52"/>
      <c r="J141" s="52"/>
      <c r="K141" s="52"/>
      <c r="L141" s="52"/>
      <c r="M141" s="55" t="e">
        <f>#REF!*#REF!+#REF!*#REF!</f>
        <v>#REF!</v>
      </c>
      <c r="N141" s="52"/>
      <c r="O141" s="52"/>
    </row>
    <row r="142" spans="1:15" s="57" customFormat="1" x14ac:dyDescent="0.25">
      <c r="A142" s="1">
        <f>IF(B142&gt;0,SUM(MAX($A$14:A141),1),0)</f>
        <v>0</v>
      </c>
      <c r="B142" s="238"/>
      <c r="C142" s="242"/>
      <c r="D142" s="120">
        <v>1</v>
      </c>
      <c r="E142" s="123">
        <v>980</v>
      </c>
      <c r="F142" s="121"/>
      <c r="G142" s="238"/>
      <c r="H142" s="55"/>
      <c r="I142" s="56"/>
      <c r="J142" s="56"/>
      <c r="K142" s="56"/>
      <c r="L142" s="56"/>
      <c r="M142" s="55"/>
      <c r="N142" s="56"/>
      <c r="O142" s="56"/>
    </row>
    <row r="143" spans="1:15" s="57" customFormat="1" x14ac:dyDescent="0.25">
      <c r="A143" s="1" t="e">
        <f ca="1">IF(B143&gt;0,SUM(MAX($A$14:A142),1),0)</f>
        <v>#REF!</v>
      </c>
      <c r="B143" s="120">
        <f>B141+1</f>
        <v>51</v>
      </c>
      <c r="C143" s="121" t="s">
        <v>339</v>
      </c>
      <c r="D143" s="120">
        <v>4</v>
      </c>
      <c r="E143" s="123">
        <v>2100</v>
      </c>
      <c r="F143" s="121"/>
      <c r="G143" s="120" t="s">
        <v>175</v>
      </c>
      <c r="H143" s="55"/>
      <c r="I143" s="56"/>
      <c r="J143" s="56"/>
      <c r="K143" s="56"/>
      <c r="L143" s="56"/>
      <c r="M143" s="55" t="e">
        <f>#REF!*#REF!</f>
        <v>#REF!</v>
      </c>
      <c r="N143" s="56"/>
      <c r="O143" s="56"/>
    </row>
    <row r="144" spans="1:15" s="57" customFormat="1" x14ac:dyDescent="0.25">
      <c r="A144" s="1" t="e">
        <f ca="1">IF(B144&gt;0,SUM(MAX($A$14:A182),1),0)</f>
        <v>#REF!</v>
      </c>
      <c r="B144" s="120">
        <f>B143+1</f>
        <v>52</v>
      </c>
      <c r="C144" s="121" t="s">
        <v>329</v>
      </c>
      <c r="D144" s="120">
        <v>4</v>
      </c>
      <c r="E144" s="123">
        <v>980</v>
      </c>
      <c r="F144" s="121"/>
      <c r="G144" s="120" t="s">
        <v>175</v>
      </c>
      <c r="H144" s="55"/>
      <c r="I144" s="56"/>
      <c r="J144" s="56"/>
      <c r="K144" s="56"/>
      <c r="L144" s="56"/>
      <c r="M144" s="55" t="e">
        <f>#REF!*#REF!</f>
        <v>#REF!</v>
      </c>
      <c r="N144" s="56"/>
      <c r="O144" s="56"/>
    </row>
    <row r="145" spans="1:17" s="57" customFormat="1" x14ac:dyDescent="0.25">
      <c r="A145" s="1" t="e">
        <f ca="1">IF(B145&gt;0,SUM(MAX($A$14:A144),1),0)</f>
        <v>#REF!</v>
      </c>
      <c r="B145" s="120">
        <f>B144+1</f>
        <v>53</v>
      </c>
      <c r="C145" s="121" t="s">
        <v>330</v>
      </c>
      <c r="D145" s="120">
        <v>4</v>
      </c>
      <c r="E145" s="123">
        <v>980</v>
      </c>
      <c r="F145" s="121"/>
      <c r="G145" s="120" t="s">
        <v>175</v>
      </c>
      <c r="H145" s="55"/>
      <c r="I145" s="56"/>
      <c r="J145" s="56"/>
      <c r="K145" s="56"/>
      <c r="L145" s="56"/>
      <c r="M145" s="55" t="e">
        <f>#REF!*#REF!</f>
        <v>#REF!</v>
      </c>
      <c r="N145" s="56"/>
      <c r="O145" s="56"/>
    </row>
    <row r="146" spans="1:17" s="57" customFormat="1" x14ac:dyDescent="0.25">
      <c r="A146" s="1" t="e">
        <f ca="1">IF(B146&gt;0,SUM(MAX($A$14:A126),1),0)</f>
        <v>#REF!</v>
      </c>
      <c r="B146" s="238">
        <f>B145+1</f>
        <v>54</v>
      </c>
      <c r="C146" s="121" t="s">
        <v>237</v>
      </c>
      <c r="D146" s="120">
        <v>3</v>
      </c>
      <c r="E146" s="123">
        <v>2500</v>
      </c>
      <c r="F146" s="121"/>
      <c r="G146" s="238" t="s">
        <v>139</v>
      </c>
      <c r="H146" s="55"/>
      <c r="I146" s="56"/>
      <c r="J146" s="56"/>
      <c r="K146" s="56"/>
      <c r="L146" s="56"/>
      <c r="M146" s="55" t="e">
        <f>#REF!*#REF!+#REF!*#REF!</f>
        <v>#REF!</v>
      </c>
      <c r="N146" s="56"/>
      <c r="O146" s="56"/>
    </row>
    <row r="147" spans="1:17" s="57" customFormat="1" x14ac:dyDescent="0.25">
      <c r="A147" s="1">
        <f>IF(B147&gt;0,SUM(MAX($A$14:A146),1),0)</f>
        <v>0</v>
      </c>
      <c r="B147" s="238"/>
      <c r="C147" s="121" t="s">
        <v>238</v>
      </c>
      <c r="D147" s="120">
        <v>1</v>
      </c>
      <c r="E147" s="123">
        <v>1200</v>
      </c>
      <c r="F147" s="121"/>
      <c r="G147" s="238"/>
      <c r="H147" s="55"/>
      <c r="I147" s="56"/>
      <c r="J147" s="56"/>
      <c r="K147" s="56"/>
      <c r="L147" s="56"/>
      <c r="M147" s="55"/>
      <c r="N147" s="56"/>
      <c r="O147" s="56"/>
    </row>
    <row r="148" spans="1:17" s="57" customFormat="1" x14ac:dyDescent="0.25">
      <c r="A148" s="1" t="e">
        <f ca="1">IF(B148&gt;0,SUM(MAX($A$14:A156),1),0)</f>
        <v>#REF!</v>
      </c>
      <c r="B148" s="120">
        <f>B146+1</f>
        <v>55</v>
      </c>
      <c r="C148" s="121" t="s">
        <v>275</v>
      </c>
      <c r="D148" s="120">
        <v>3</v>
      </c>
      <c r="E148" s="123">
        <v>1120</v>
      </c>
      <c r="F148" s="121"/>
      <c r="G148" s="120" t="s">
        <v>202</v>
      </c>
      <c r="H148" s="55"/>
      <c r="I148" s="56"/>
      <c r="J148" s="56"/>
      <c r="K148" s="56"/>
      <c r="L148" s="56"/>
      <c r="M148" s="55" t="e">
        <f>#REF!*#REF!</f>
        <v>#REF!</v>
      </c>
      <c r="N148" s="56"/>
      <c r="O148" s="56"/>
    </row>
    <row r="149" spans="1:17" x14ac:dyDescent="0.25">
      <c r="A149" s="1" t="e">
        <f ca="1">IF(B149&gt;0,SUM(MAX($A$14:A60),1),0)</f>
        <v>#REF!</v>
      </c>
      <c r="B149" s="238">
        <f>B148+1</f>
        <v>56</v>
      </c>
      <c r="C149" s="242" t="s">
        <v>137</v>
      </c>
      <c r="D149" s="120">
        <v>4</v>
      </c>
      <c r="E149" s="123">
        <v>900</v>
      </c>
      <c r="F149" s="121"/>
      <c r="G149" s="239" t="s">
        <v>83</v>
      </c>
      <c r="H149" s="15"/>
      <c r="I149" s="16"/>
      <c r="J149" s="16"/>
      <c r="K149" s="16"/>
      <c r="L149" s="16"/>
      <c r="M149" s="15" t="e">
        <f>#REF!*#REF!+#REF!*#REF!</f>
        <v>#REF!</v>
      </c>
      <c r="N149" s="16"/>
      <c r="O149" s="16"/>
      <c r="Q149" s="3"/>
    </row>
    <row r="150" spans="1:17" x14ac:dyDescent="0.25">
      <c r="A150" s="1">
        <f>IF(B150&gt;0,SUM(MAX($A$14:A149),1),0)</f>
        <v>0</v>
      </c>
      <c r="B150" s="238"/>
      <c r="C150" s="242"/>
      <c r="D150" s="120">
        <v>3</v>
      </c>
      <c r="E150" s="123">
        <v>1500</v>
      </c>
      <c r="F150" s="121"/>
      <c r="G150" s="239"/>
      <c r="H150" s="15"/>
      <c r="I150" s="16"/>
      <c r="J150" s="16"/>
      <c r="K150" s="16"/>
      <c r="L150" s="16"/>
      <c r="M150" s="15"/>
      <c r="N150" s="16"/>
      <c r="O150" s="16"/>
      <c r="Q150" s="3"/>
    </row>
    <row r="151" spans="1:17" s="57" customFormat="1" x14ac:dyDescent="0.25">
      <c r="A151" s="1"/>
      <c r="B151" s="238">
        <f>B149+1</f>
        <v>57</v>
      </c>
      <c r="C151" s="242" t="s">
        <v>242</v>
      </c>
      <c r="D151" s="120">
        <v>5</v>
      </c>
      <c r="E151" s="123">
        <v>900</v>
      </c>
      <c r="F151" s="121"/>
      <c r="G151" s="238" t="s">
        <v>83</v>
      </c>
      <c r="H151" s="55"/>
      <c r="I151" s="56"/>
      <c r="J151" s="56"/>
      <c r="K151" s="56"/>
      <c r="L151" s="56"/>
      <c r="M151" s="55" t="e">
        <f>#REF!*#REF!+#REF!*#REF!</f>
        <v>#REF!</v>
      </c>
      <c r="N151" s="56"/>
      <c r="O151" s="56"/>
    </row>
    <row r="152" spans="1:17" s="57" customFormat="1" x14ac:dyDescent="0.25">
      <c r="A152" s="1"/>
      <c r="B152" s="238"/>
      <c r="C152" s="242"/>
      <c r="D152" s="120">
        <v>1</v>
      </c>
      <c r="E152" s="123">
        <v>2500</v>
      </c>
      <c r="F152" s="121"/>
      <c r="G152" s="238"/>
      <c r="H152" s="55"/>
      <c r="I152" s="56"/>
      <c r="J152" s="56"/>
      <c r="K152" s="56"/>
      <c r="L152" s="56"/>
      <c r="M152" s="55"/>
      <c r="N152" s="56"/>
      <c r="O152" s="56"/>
    </row>
    <row r="153" spans="1:17" s="57" customFormat="1" x14ac:dyDescent="0.25">
      <c r="A153" s="1"/>
      <c r="B153" s="238">
        <f>B151+1</f>
        <v>58</v>
      </c>
      <c r="C153" s="242" t="s">
        <v>243</v>
      </c>
      <c r="D153" s="120">
        <v>1</v>
      </c>
      <c r="E153" s="123">
        <v>980</v>
      </c>
      <c r="F153" s="121"/>
      <c r="G153" s="238" t="s">
        <v>83</v>
      </c>
      <c r="H153" s="55"/>
      <c r="I153" s="56"/>
      <c r="J153" s="56"/>
      <c r="K153" s="56"/>
      <c r="L153" s="56"/>
      <c r="M153" s="55" t="e">
        <f>#REF!*#REF!+#REF!*#REF!</f>
        <v>#REF!</v>
      </c>
      <c r="N153" s="56"/>
      <c r="O153" s="56"/>
    </row>
    <row r="154" spans="1:17" s="57" customFormat="1" x14ac:dyDescent="0.25">
      <c r="A154" s="1"/>
      <c r="B154" s="238"/>
      <c r="C154" s="242"/>
      <c r="D154" s="120">
        <v>2</v>
      </c>
      <c r="E154" s="123">
        <v>1120</v>
      </c>
      <c r="F154" s="121"/>
      <c r="G154" s="238"/>
      <c r="H154" s="55"/>
      <c r="I154" s="56"/>
      <c r="J154" s="56"/>
      <c r="K154" s="56"/>
      <c r="L154" s="56"/>
      <c r="M154" s="55"/>
      <c r="N154" s="56"/>
      <c r="O154" s="56"/>
    </row>
    <row r="155" spans="1:17" s="57" customFormat="1" x14ac:dyDescent="0.25">
      <c r="A155" s="1"/>
      <c r="B155" s="238">
        <f>B153+1</f>
        <v>59</v>
      </c>
      <c r="C155" s="242" t="s">
        <v>244</v>
      </c>
      <c r="D155" s="120">
        <v>4</v>
      </c>
      <c r="E155" s="123">
        <v>900</v>
      </c>
      <c r="F155" s="121"/>
      <c r="G155" s="238" t="s">
        <v>83</v>
      </c>
      <c r="H155" s="55"/>
      <c r="I155" s="56"/>
      <c r="J155" s="56"/>
      <c r="K155" s="56"/>
      <c r="L155" s="56"/>
      <c r="M155" s="55" t="e">
        <f>#REF!*#REF!+#REF!*#REF!</f>
        <v>#REF!</v>
      </c>
      <c r="N155" s="56"/>
      <c r="O155" s="56"/>
    </row>
    <row r="156" spans="1:17" s="57" customFormat="1" x14ac:dyDescent="0.25">
      <c r="A156" s="1"/>
      <c r="B156" s="238"/>
      <c r="C156" s="242"/>
      <c r="D156" s="120">
        <v>2</v>
      </c>
      <c r="E156" s="123">
        <v>1200</v>
      </c>
      <c r="F156" s="121"/>
      <c r="G156" s="238"/>
      <c r="H156" s="55"/>
      <c r="I156" s="56"/>
      <c r="J156" s="56"/>
      <c r="K156" s="56"/>
      <c r="L156" s="56"/>
      <c r="M156" s="55"/>
      <c r="N156" s="56"/>
      <c r="O156" s="56"/>
    </row>
    <row r="157" spans="1:17" s="57" customFormat="1" x14ac:dyDescent="0.25">
      <c r="A157" s="1" t="e">
        <f ca="1">IF(B157&gt;0,SUM(MAX($A$14:A156),1),0)</f>
        <v>#REF!</v>
      </c>
      <c r="B157" s="120">
        <f>B155+1</f>
        <v>60</v>
      </c>
      <c r="C157" s="121" t="s">
        <v>285</v>
      </c>
      <c r="D157" s="120">
        <v>2</v>
      </c>
      <c r="E157" s="123">
        <v>980</v>
      </c>
      <c r="F157" s="121"/>
      <c r="G157" s="120" t="s">
        <v>83</v>
      </c>
      <c r="H157" s="55"/>
      <c r="I157" s="56"/>
      <c r="J157" s="56"/>
      <c r="K157" s="56"/>
      <c r="L157" s="56"/>
      <c r="M157" s="55" t="e">
        <f>#REF!*#REF!</f>
        <v>#REF!</v>
      </c>
      <c r="N157" s="56"/>
      <c r="O157" s="56"/>
    </row>
    <row r="158" spans="1:17" s="57" customFormat="1" x14ac:dyDescent="0.25">
      <c r="A158" s="1" t="e">
        <f ca="1">IF(B158&gt;0,SUM(MAX($A$14:A157),1),0)</f>
        <v>#REF!</v>
      </c>
      <c r="B158" s="120">
        <f>B157+1</f>
        <v>61</v>
      </c>
      <c r="C158" s="121" t="s">
        <v>308</v>
      </c>
      <c r="D158" s="120">
        <v>3</v>
      </c>
      <c r="E158" s="123">
        <v>1400</v>
      </c>
      <c r="F158" s="121"/>
      <c r="G158" s="120" t="s">
        <v>83</v>
      </c>
      <c r="H158" s="55"/>
      <c r="I158" s="56"/>
      <c r="J158" s="56"/>
      <c r="K158" s="56"/>
      <c r="L158" s="56"/>
      <c r="M158" s="55" t="e">
        <f>#REF!*#REF!</f>
        <v>#REF!</v>
      </c>
      <c r="N158" s="56"/>
      <c r="O158" s="56"/>
    </row>
    <row r="159" spans="1:17" s="57" customFormat="1" x14ac:dyDescent="0.25">
      <c r="A159" s="1" t="e">
        <f ca="1">IF(B159&gt;0,SUM(MAX($A$14:A158),1),0)</f>
        <v>#REF!</v>
      </c>
      <c r="B159" s="238">
        <f>B158+1</f>
        <v>62</v>
      </c>
      <c r="C159" s="242" t="s">
        <v>310</v>
      </c>
      <c r="D159" s="120">
        <v>1</v>
      </c>
      <c r="E159" s="123">
        <v>1200</v>
      </c>
      <c r="F159" s="121"/>
      <c r="G159" s="238" t="s">
        <v>83</v>
      </c>
      <c r="H159" s="55"/>
      <c r="I159" s="56"/>
      <c r="J159" s="56"/>
      <c r="K159" s="56"/>
      <c r="L159" s="56"/>
      <c r="M159" s="55" t="e">
        <f>#REF!*#REF!+#REF!*#REF!</f>
        <v>#REF!</v>
      </c>
      <c r="N159" s="56"/>
      <c r="O159" s="56"/>
    </row>
    <row r="160" spans="1:17" s="57" customFormat="1" x14ac:dyDescent="0.25">
      <c r="A160" s="1">
        <f>IF(B160&gt;0,SUM(MAX($A$14:A159),1),0)</f>
        <v>0</v>
      </c>
      <c r="B160" s="238"/>
      <c r="C160" s="242"/>
      <c r="D160" s="120">
        <v>3</v>
      </c>
      <c r="E160" s="123">
        <v>980</v>
      </c>
      <c r="F160" s="121"/>
      <c r="G160" s="238"/>
      <c r="H160" s="55"/>
      <c r="I160" s="56"/>
      <c r="J160" s="56"/>
      <c r="K160" s="56"/>
      <c r="L160" s="56"/>
      <c r="M160" s="55"/>
      <c r="N160" s="56"/>
      <c r="O160" s="56"/>
    </row>
    <row r="161" spans="1:15" s="57" customFormat="1" x14ac:dyDescent="0.25">
      <c r="A161" s="1" t="e">
        <f ca="1">IF(B161&gt;0,SUM(MAX($A$14:A160),1),0)</f>
        <v>#REF!</v>
      </c>
      <c r="B161" s="238">
        <v>82</v>
      </c>
      <c r="C161" s="242" t="s">
        <v>311</v>
      </c>
      <c r="D161" s="120">
        <v>4</v>
      </c>
      <c r="E161" s="123">
        <v>1400</v>
      </c>
      <c r="F161" s="121"/>
      <c r="G161" s="238" t="s">
        <v>83</v>
      </c>
      <c r="H161" s="55"/>
      <c r="I161" s="56"/>
      <c r="J161" s="56"/>
      <c r="K161" s="56"/>
      <c r="L161" s="56"/>
      <c r="M161" s="55" t="e">
        <f>#REF!*#REF!+#REF!*#REF!</f>
        <v>#REF!</v>
      </c>
      <c r="N161" s="56"/>
      <c r="O161" s="56"/>
    </row>
    <row r="162" spans="1:15" s="57" customFormat="1" x14ac:dyDescent="0.25">
      <c r="A162" s="1">
        <f>IF(B162&gt;0,SUM(MAX($A$14:A161),1),0)</f>
        <v>0</v>
      </c>
      <c r="B162" s="238"/>
      <c r="C162" s="242"/>
      <c r="D162" s="120">
        <v>3</v>
      </c>
      <c r="E162" s="123">
        <v>980</v>
      </c>
      <c r="F162" s="121"/>
      <c r="G162" s="238"/>
      <c r="H162" s="55"/>
      <c r="I162" s="56"/>
      <c r="J162" s="56"/>
      <c r="K162" s="56"/>
      <c r="L162" s="56"/>
      <c r="M162" s="55"/>
      <c r="N162" s="56"/>
      <c r="O162" s="56"/>
    </row>
    <row r="163" spans="1:15" s="57" customFormat="1" x14ac:dyDescent="0.25">
      <c r="A163" s="1" t="e">
        <f ca="1">IF(B163&gt;0,SUM(MAX($A$14:A162),1),0)</f>
        <v>#REF!</v>
      </c>
      <c r="B163" s="238">
        <v>83</v>
      </c>
      <c r="C163" s="242" t="s">
        <v>312</v>
      </c>
      <c r="D163" s="120">
        <v>2</v>
      </c>
      <c r="E163" s="123">
        <v>2000</v>
      </c>
      <c r="F163" s="121"/>
      <c r="G163" s="238" t="s">
        <v>83</v>
      </c>
      <c r="H163" s="55"/>
      <c r="I163" s="56"/>
      <c r="J163" s="56"/>
      <c r="K163" s="56"/>
      <c r="L163" s="56"/>
      <c r="M163" s="55" t="e">
        <f>#REF!*#REF!+#REF!*#REF!</f>
        <v>#REF!</v>
      </c>
      <c r="N163" s="56"/>
      <c r="O163" s="56"/>
    </row>
    <row r="164" spans="1:15" s="57" customFormat="1" x14ac:dyDescent="0.25">
      <c r="A164" s="1">
        <f>IF(B164&gt;0,SUM(MAX($A$14:A163),1),0)</f>
        <v>0</v>
      </c>
      <c r="B164" s="238"/>
      <c r="C164" s="242"/>
      <c r="D164" s="120">
        <v>1</v>
      </c>
      <c r="E164" s="123">
        <v>1400</v>
      </c>
      <c r="F164" s="121"/>
      <c r="G164" s="238"/>
      <c r="H164" s="55"/>
      <c r="I164" s="56"/>
      <c r="J164" s="56"/>
      <c r="K164" s="56"/>
      <c r="L164" s="56"/>
      <c r="M164" s="55"/>
      <c r="N164" s="56"/>
      <c r="O164" s="56"/>
    </row>
    <row r="165" spans="1:15" s="57" customFormat="1" ht="21.75" customHeight="1" x14ac:dyDescent="0.25">
      <c r="A165" s="1" t="e">
        <f ca="1">IF(B165&gt;0,SUM(MAX($A$14:A164),1),0)</f>
        <v>#REF!</v>
      </c>
      <c r="B165" s="120">
        <v>84</v>
      </c>
      <c r="C165" s="121" t="s">
        <v>313</v>
      </c>
      <c r="D165" s="120">
        <v>3</v>
      </c>
      <c r="E165" s="123">
        <v>980</v>
      </c>
      <c r="F165" s="121"/>
      <c r="G165" s="120" t="s">
        <v>83</v>
      </c>
      <c r="H165" s="55"/>
      <c r="I165" s="56"/>
      <c r="J165" s="56"/>
      <c r="K165" s="56"/>
      <c r="L165" s="56"/>
      <c r="M165" s="55" t="e">
        <f>#REF!*#REF!</f>
        <v>#REF!</v>
      </c>
      <c r="N165" s="56"/>
      <c r="O165" s="56"/>
    </row>
    <row r="166" spans="1:15" s="57" customFormat="1" ht="21.75" customHeight="1" x14ac:dyDescent="0.25">
      <c r="A166" s="1" t="e">
        <f ca="1">IF(B166&gt;0,SUM(MAX($A$14:A165),1),0)</f>
        <v>#REF!</v>
      </c>
      <c r="B166" s="120">
        <v>85</v>
      </c>
      <c r="C166" s="121" t="s">
        <v>314</v>
      </c>
      <c r="D166" s="120">
        <v>4</v>
      </c>
      <c r="E166" s="123">
        <v>980</v>
      </c>
      <c r="F166" s="121"/>
      <c r="G166" s="120" t="s">
        <v>83</v>
      </c>
      <c r="H166" s="55"/>
      <c r="I166" s="56"/>
      <c r="J166" s="56"/>
      <c r="K166" s="56"/>
      <c r="L166" s="56"/>
      <c r="M166" s="55" t="e">
        <f>#REF!*#REF!</f>
        <v>#REF!</v>
      </c>
      <c r="N166" s="56"/>
      <c r="O166" s="56"/>
    </row>
    <row r="167" spans="1:15" s="57" customFormat="1" ht="21.75" customHeight="1" x14ac:dyDescent="0.25">
      <c r="A167" s="1" t="e">
        <f ca="1">IF(B167&gt;0,SUM(MAX($A$14:A166),1),0)</f>
        <v>#REF!</v>
      </c>
      <c r="B167" s="120">
        <v>86</v>
      </c>
      <c r="C167" s="121" t="s">
        <v>316</v>
      </c>
      <c r="D167" s="120">
        <v>4</v>
      </c>
      <c r="E167" s="123">
        <v>1400</v>
      </c>
      <c r="F167" s="121"/>
      <c r="G167" s="120" t="s">
        <v>83</v>
      </c>
      <c r="H167" s="55"/>
      <c r="I167" s="56"/>
      <c r="J167" s="56"/>
      <c r="K167" s="56"/>
      <c r="L167" s="56"/>
      <c r="M167" s="55" t="e">
        <f>#REF!*#REF!</f>
        <v>#REF!</v>
      </c>
      <c r="N167" s="56"/>
      <c r="O167" s="56"/>
    </row>
    <row r="168" spans="1:15" s="57" customFormat="1" ht="21.75" customHeight="1" x14ac:dyDescent="0.25">
      <c r="A168" s="1" t="e">
        <f ca="1">IF(B168&gt;0,SUM(MAX($A$14:A167),1),0)</f>
        <v>#REF!</v>
      </c>
      <c r="B168" s="120">
        <v>87</v>
      </c>
      <c r="C168" s="121" t="s">
        <v>317</v>
      </c>
      <c r="D168" s="120">
        <v>2</v>
      </c>
      <c r="E168" s="123">
        <v>1200</v>
      </c>
      <c r="F168" s="121"/>
      <c r="G168" s="120" t="s">
        <v>83</v>
      </c>
      <c r="H168" s="55"/>
      <c r="I168" s="56"/>
      <c r="J168" s="56"/>
      <c r="K168" s="56"/>
      <c r="L168" s="56"/>
      <c r="M168" s="55" t="e">
        <f>#REF!*#REF!</f>
        <v>#REF!</v>
      </c>
      <c r="N168" s="56"/>
      <c r="O168" s="56"/>
    </row>
    <row r="169" spans="1:15" s="57" customFormat="1" ht="21.75" customHeight="1" x14ac:dyDescent="0.25">
      <c r="A169" s="1" t="e">
        <f ca="1">IF(B169&gt;0,SUM(MAX($A$14:A172),1),0)</f>
        <v>#REF!</v>
      </c>
      <c r="B169" s="120">
        <v>88</v>
      </c>
      <c r="C169" s="121" t="s">
        <v>320</v>
      </c>
      <c r="D169" s="120">
        <v>7</v>
      </c>
      <c r="E169" s="123">
        <v>1400</v>
      </c>
      <c r="F169" s="121"/>
      <c r="G169" s="120" t="s">
        <v>83</v>
      </c>
      <c r="H169" s="55"/>
      <c r="I169" s="56"/>
      <c r="J169" s="56"/>
      <c r="K169" s="56"/>
      <c r="L169" s="56"/>
      <c r="M169" s="55" t="e">
        <f>#REF!*#REF!</f>
        <v>#REF!</v>
      </c>
      <c r="N169" s="56"/>
      <c r="O169" s="56"/>
    </row>
    <row r="170" spans="1:15" s="57" customFormat="1" ht="21.75" customHeight="1" x14ac:dyDescent="0.25">
      <c r="A170" s="1" t="e">
        <f ca="1">IF(B170&gt;0,SUM(MAX($A$14:A168),1),0)</f>
        <v>#REF!</v>
      </c>
      <c r="B170" s="120">
        <v>89</v>
      </c>
      <c r="C170" s="121" t="s">
        <v>318</v>
      </c>
      <c r="D170" s="120">
        <v>10</v>
      </c>
      <c r="E170" s="123">
        <v>2500</v>
      </c>
      <c r="F170" s="121"/>
      <c r="G170" s="120" t="s">
        <v>162</v>
      </c>
      <c r="H170" s="55"/>
      <c r="I170" s="56"/>
      <c r="J170" s="56"/>
      <c r="K170" s="56"/>
      <c r="L170" s="56"/>
      <c r="M170" s="55" t="e">
        <f>#REF!*#REF!</f>
        <v>#REF!</v>
      </c>
      <c r="N170" s="56"/>
      <c r="O170" s="56"/>
    </row>
    <row r="171" spans="1:15" s="57" customFormat="1" x14ac:dyDescent="0.25">
      <c r="A171" s="1" t="e">
        <f ca="1">IF(B171&gt;0,SUM(MAX($A$14:A170),1),0)</f>
        <v>#REF!</v>
      </c>
      <c r="B171" s="238">
        <v>90</v>
      </c>
      <c r="C171" s="242" t="s">
        <v>319</v>
      </c>
      <c r="D171" s="120">
        <v>3</v>
      </c>
      <c r="E171" s="123">
        <v>1000</v>
      </c>
      <c r="F171" s="121"/>
      <c r="G171" s="238" t="s">
        <v>162</v>
      </c>
      <c r="H171" s="55"/>
      <c r="I171" s="56"/>
      <c r="J171" s="56"/>
      <c r="K171" s="56"/>
      <c r="L171" s="56"/>
      <c r="M171" s="55" t="e">
        <f>#REF!*#REF!+#REF!*#REF!</f>
        <v>#REF!</v>
      </c>
      <c r="N171" s="56"/>
      <c r="O171" s="56"/>
    </row>
    <row r="172" spans="1:15" s="57" customFormat="1" x14ac:dyDescent="0.25">
      <c r="A172" s="1">
        <f>IF(B172&gt;0,SUM(MAX($A$14:A171),1),0)</f>
        <v>0</v>
      </c>
      <c r="B172" s="238"/>
      <c r="C172" s="242"/>
      <c r="D172" s="120">
        <v>1</v>
      </c>
      <c r="E172" s="123">
        <v>1200</v>
      </c>
      <c r="F172" s="121"/>
      <c r="G172" s="238"/>
      <c r="H172" s="55"/>
      <c r="I172" s="56"/>
      <c r="J172" s="56"/>
      <c r="K172" s="56"/>
      <c r="L172" s="56"/>
      <c r="M172" s="55"/>
      <c r="N172" s="56"/>
      <c r="O172" s="56"/>
    </row>
    <row r="173" spans="1:15" s="57" customFormat="1" x14ac:dyDescent="0.25">
      <c r="A173" s="1" t="e">
        <f ca="1">IF(B173&gt;0,SUM(MAX($A$14:A172),1),0)</f>
        <v>#REF!</v>
      </c>
      <c r="B173" s="120">
        <v>91</v>
      </c>
      <c r="C173" s="121" t="s">
        <v>321</v>
      </c>
      <c r="D173" s="120">
        <v>9</v>
      </c>
      <c r="E173" s="123">
        <v>1000</v>
      </c>
      <c r="F173" s="121"/>
      <c r="G173" s="120" t="s">
        <v>162</v>
      </c>
      <c r="H173" s="55"/>
      <c r="I173" s="56"/>
      <c r="J173" s="56"/>
      <c r="K173" s="56"/>
      <c r="L173" s="56"/>
      <c r="M173" s="55" t="e">
        <f>#REF!*#REF!</f>
        <v>#REF!</v>
      </c>
      <c r="N173" s="56"/>
      <c r="O173" s="56"/>
    </row>
    <row r="174" spans="1:15" s="57" customFormat="1" x14ac:dyDescent="0.25">
      <c r="A174" s="1" t="e">
        <f ca="1">IF(B174&gt;0,SUM(MAX($A$14:A173),1),0)</f>
        <v>#REF!</v>
      </c>
      <c r="B174" s="120">
        <v>92</v>
      </c>
      <c r="C174" s="121" t="s">
        <v>322</v>
      </c>
      <c r="D174" s="120">
        <v>2</v>
      </c>
      <c r="E174" s="123">
        <v>1200</v>
      </c>
      <c r="F174" s="121"/>
      <c r="G174" s="120" t="s">
        <v>162</v>
      </c>
      <c r="H174" s="55"/>
      <c r="I174" s="56"/>
      <c r="J174" s="56"/>
      <c r="K174" s="56"/>
      <c r="L174" s="56"/>
      <c r="M174" s="55" t="e">
        <f>#REF!*#REF!</f>
        <v>#REF!</v>
      </c>
      <c r="N174" s="56"/>
      <c r="O174" s="56"/>
    </row>
    <row r="175" spans="1:15" s="57" customFormat="1" x14ac:dyDescent="0.25">
      <c r="A175" s="1" t="e">
        <f ca="1">IF(B175&gt;0,SUM(MAX($A$14:A174),1),0)</f>
        <v>#REF!</v>
      </c>
      <c r="B175" s="238">
        <v>93</v>
      </c>
      <c r="C175" s="242" t="s">
        <v>323</v>
      </c>
      <c r="D175" s="120">
        <v>1</v>
      </c>
      <c r="E175" s="123">
        <v>1400</v>
      </c>
      <c r="F175" s="121"/>
      <c r="G175" s="238" t="s">
        <v>162</v>
      </c>
      <c r="H175" s="55"/>
      <c r="I175" s="56"/>
      <c r="J175" s="56"/>
      <c r="K175" s="56"/>
      <c r="L175" s="56"/>
      <c r="M175" s="55" t="e">
        <f>#REF!*#REF!+#REF!*#REF!</f>
        <v>#REF!</v>
      </c>
      <c r="N175" s="56"/>
      <c r="O175" s="56"/>
    </row>
    <row r="176" spans="1:15" s="57" customFormat="1" x14ac:dyDescent="0.25">
      <c r="A176" s="1">
        <f>IF(B176&gt;0,SUM(MAX($A$14:A175),1),0)</f>
        <v>0</v>
      </c>
      <c r="B176" s="238"/>
      <c r="C176" s="242"/>
      <c r="D176" s="120">
        <v>2</v>
      </c>
      <c r="E176" s="123">
        <v>2000</v>
      </c>
      <c r="F176" s="121"/>
      <c r="G176" s="238"/>
      <c r="H176" s="55"/>
      <c r="I176" s="56"/>
      <c r="J176" s="56"/>
      <c r="K176" s="56"/>
      <c r="L176" s="56"/>
      <c r="M176" s="55"/>
      <c r="N176" s="56"/>
      <c r="O176" s="56"/>
    </row>
    <row r="177" spans="1:15" s="57" customFormat="1" x14ac:dyDescent="0.25">
      <c r="A177" s="1" t="e">
        <f ca="1">IF(B177&gt;0,SUM(MAX($A$14:A176),1),0)</f>
        <v>#REF!</v>
      </c>
      <c r="B177" s="238">
        <v>94</v>
      </c>
      <c r="C177" s="242" t="s">
        <v>325</v>
      </c>
      <c r="D177" s="120">
        <v>2</v>
      </c>
      <c r="E177" s="123">
        <v>1200</v>
      </c>
      <c r="F177" s="121"/>
      <c r="G177" s="238" t="s">
        <v>162</v>
      </c>
      <c r="H177" s="55"/>
      <c r="I177" s="56"/>
      <c r="J177" s="56"/>
      <c r="K177" s="56"/>
      <c r="L177" s="56"/>
      <c r="M177" s="55" t="e">
        <f>#REF!*#REF!+#REF!*#REF!</f>
        <v>#REF!</v>
      </c>
      <c r="N177" s="56"/>
      <c r="O177" s="56"/>
    </row>
    <row r="178" spans="1:15" s="57" customFormat="1" x14ac:dyDescent="0.25">
      <c r="A178" s="1">
        <f>IF(B178&gt;0,SUM(MAX($A$14:A177),1),0)</f>
        <v>0</v>
      </c>
      <c r="B178" s="238"/>
      <c r="C178" s="242"/>
      <c r="D178" s="120">
        <v>4</v>
      </c>
      <c r="E178" s="123">
        <v>980</v>
      </c>
      <c r="F178" s="121"/>
      <c r="G178" s="238"/>
      <c r="H178" s="55"/>
      <c r="I178" s="56"/>
      <c r="J178" s="56"/>
      <c r="K178" s="56"/>
      <c r="L178" s="56"/>
      <c r="M178" s="55"/>
      <c r="N178" s="56"/>
      <c r="O178" s="56"/>
    </row>
    <row r="179" spans="1:15" s="57" customFormat="1" x14ac:dyDescent="0.25">
      <c r="A179" s="1" t="e">
        <f ca="1">IF(B179&gt;0,SUM(MAX($A$14:A178),1),0)</f>
        <v>#REF!</v>
      </c>
      <c r="B179" s="238">
        <v>95</v>
      </c>
      <c r="C179" s="242" t="s">
        <v>326</v>
      </c>
      <c r="D179" s="120">
        <v>2</v>
      </c>
      <c r="E179" s="123">
        <v>1950</v>
      </c>
      <c r="F179" s="121"/>
      <c r="G179" s="238" t="s">
        <v>162</v>
      </c>
      <c r="H179" s="55"/>
      <c r="I179" s="56"/>
      <c r="J179" s="56"/>
      <c r="K179" s="56"/>
      <c r="L179" s="56"/>
      <c r="M179" s="55" t="e">
        <f>#REF!*#REF!+#REF!*#REF!</f>
        <v>#REF!</v>
      </c>
      <c r="N179" s="56"/>
      <c r="O179" s="56"/>
    </row>
    <row r="180" spans="1:15" s="57" customFormat="1" x14ac:dyDescent="0.25">
      <c r="A180" s="1">
        <f>IF(B180&gt;0,SUM(MAX($A$14:A179),1),0)</f>
        <v>0</v>
      </c>
      <c r="B180" s="238"/>
      <c r="C180" s="242"/>
      <c r="D180" s="120">
        <v>1</v>
      </c>
      <c r="E180" s="123">
        <v>980</v>
      </c>
      <c r="F180" s="121"/>
      <c r="G180" s="238"/>
      <c r="H180" s="55"/>
      <c r="I180" s="56"/>
      <c r="J180" s="56"/>
      <c r="K180" s="56"/>
      <c r="L180" s="56"/>
      <c r="M180" s="55"/>
      <c r="N180" s="56"/>
      <c r="O180" s="56"/>
    </row>
    <row r="181" spans="1:15" s="57" customFormat="1" ht="25.5" customHeight="1" x14ac:dyDescent="0.25">
      <c r="A181" s="1" t="e">
        <f ca="1">IF(B181&gt;0,SUM(MAX($A$14:A180),1),0)</f>
        <v>#REF!</v>
      </c>
      <c r="B181" s="120">
        <v>96</v>
      </c>
      <c r="C181" s="121" t="s">
        <v>529</v>
      </c>
      <c r="D181" s="120">
        <v>2</v>
      </c>
      <c r="E181" s="123">
        <v>980</v>
      </c>
      <c r="F181" s="121"/>
      <c r="G181" s="120" t="s">
        <v>162</v>
      </c>
      <c r="H181" s="55"/>
      <c r="I181" s="56"/>
      <c r="J181" s="56"/>
      <c r="K181" s="56"/>
      <c r="L181" s="56"/>
      <c r="M181" s="55" t="e">
        <f>#REF!*#REF!</f>
        <v>#REF!</v>
      </c>
      <c r="N181" s="56"/>
      <c r="O181" s="56"/>
    </row>
    <row r="182" spans="1:15" s="57" customFormat="1" ht="25.5" customHeight="1" x14ac:dyDescent="0.25">
      <c r="A182" s="1" t="e">
        <f ca="1">IF(B182&gt;0,SUM(MAX($A$14:A181),1),0)</f>
        <v>#REF!</v>
      </c>
      <c r="B182" s="120">
        <v>97</v>
      </c>
      <c r="C182" s="121" t="s">
        <v>328</v>
      </c>
      <c r="D182" s="120">
        <v>2</v>
      </c>
      <c r="E182" s="123">
        <v>1000</v>
      </c>
      <c r="F182" s="121"/>
      <c r="G182" s="120" t="s">
        <v>162</v>
      </c>
      <c r="H182" s="55"/>
      <c r="I182" s="56"/>
      <c r="J182" s="56"/>
      <c r="K182" s="56"/>
      <c r="L182" s="56"/>
      <c r="M182" s="55" t="e">
        <f>#REF!*#REF!</f>
        <v>#REF!</v>
      </c>
      <c r="N182" s="56"/>
      <c r="O182" s="56"/>
    </row>
    <row r="183" spans="1:15" s="57" customFormat="1" x14ac:dyDescent="0.25">
      <c r="A183" s="1" t="e">
        <f ca="1">IF(B183&gt;0,SUM(MAX($A$14:A188),1),0)</f>
        <v>#REF!</v>
      </c>
      <c r="B183" s="238">
        <v>98</v>
      </c>
      <c r="C183" s="242" t="s">
        <v>334</v>
      </c>
      <c r="D183" s="120">
        <v>1</v>
      </c>
      <c r="E183" s="123">
        <v>980</v>
      </c>
      <c r="F183" s="121"/>
      <c r="G183" s="238" t="s">
        <v>162</v>
      </c>
      <c r="H183" s="55"/>
      <c r="I183" s="56"/>
      <c r="J183" s="56"/>
      <c r="K183" s="56"/>
      <c r="L183" s="56"/>
      <c r="M183" s="55" t="e">
        <f>#REF!*#REF!+#REF!*#REF!</f>
        <v>#REF!</v>
      </c>
      <c r="N183" s="56"/>
      <c r="O183" s="56"/>
    </row>
    <row r="184" spans="1:15" s="57" customFormat="1" x14ac:dyDescent="0.25">
      <c r="A184" s="1">
        <f>IF(B184&gt;0,SUM(MAX($A$14:A183),1),0)</f>
        <v>0</v>
      </c>
      <c r="B184" s="238"/>
      <c r="C184" s="242"/>
      <c r="D184" s="120">
        <v>1</v>
      </c>
      <c r="E184" s="123">
        <v>540</v>
      </c>
      <c r="F184" s="121"/>
      <c r="G184" s="238"/>
      <c r="H184" s="55"/>
      <c r="I184" s="56"/>
      <c r="J184" s="56"/>
      <c r="K184" s="56"/>
      <c r="L184" s="56"/>
      <c r="M184" s="55"/>
      <c r="N184" s="56"/>
      <c r="O184" s="56"/>
    </row>
    <row r="185" spans="1:15" s="57" customFormat="1" x14ac:dyDescent="0.25">
      <c r="A185" s="1" t="e">
        <f ca="1">IF(B185&gt;0,SUM(MAX($A$14:A184),1),0)</f>
        <v>#REF!</v>
      </c>
      <c r="B185" s="120">
        <v>99</v>
      </c>
      <c r="C185" s="121" t="s">
        <v>336</v>
      </c>
      <c r="D185" s="120">
        <v>3</v>
      </c>
      <c r="E185" s="123">
        <v>980</v>
      </c>
      <c r="F185" s="121"/>
      <c r="G185" s="120" t="s">
        <v>162</v>
      </c>
      <c r="H185" s="55"/>
      <c r="I185" s="56"/>
      <c r="J185" s="56"/>
      <c r="K185" s="56"/>
      <c r="L185" s="56"/>
      <c r="M185" s="55" t="e">
        <f>#REF!*#REF!</f>
        <v>#REF!</v>
      </c>
      <c r="N185" s="56"/>
      <c r="O185" s="56"/>
    </row>
    <row r="186" spans="1:15" s="57" customFormat="1" x14ac:dyDescent="0.25">
      <c r="A186" s="1" t="e">
        <f ca="1">IF(B186&gt;0,SUM(MAX($A$14:A182),1),0)</f>
        <v>#REF!</v>
      </c>
      <c r="B186" s="238">
        <v>100</v>
      </c>
      <c r="C186" s="242" t="s">
        <v>332</v>
      </c>
      <c r="D186" s="120">
        <v>2</v>
      </c>
      <c r="E186" s="123">
        <v>2500</v>
      </c>
      <c r="F186" s="121"/>
      <c r="G186" s="238" t="s">
        <v>217</v>
      </c>
      <c r="H186" s="55"/>
      <c r="I186" s="56"/>
      <c r="J186" s="56"/>
      <c r="K186" s="56"/>
      <c r="L186" s="56"/>
      <c r="M186" s="55" t="e">
        <f>#REF!*#REF!+#REF!*#REF!</f>
        <v>#REF!</v>
      </c>
      <c r="N186" s="56"/>
      <c r="O186" s="56"/>
    </row>
    <row r="187" spans="1:15" s="57" customFormat="1" x14ac:dyDescent="0.25">
      <c r="A187" s="1">
        <f>IF(B187&gt;0,SUM(MAX($A$14:A186),1),0)</f>
        <v>0</v>
      </c>
      <c r="B187" s="238"/>
      <c r="C187" s="242"/>
      <c r="D187" s="120">
        <v>1</v>
      </c>
      <c r="E187" s="123">
        <v>1200</v>
      </c>
      <c r="F187" s="121"/>
      <c r="G187" s="238"/>
      <c r="H187" s="55"/>
      <c r="I187" s="56"/>
      <c r="J187" s="56"/>
      <c r="K187" s="56"/>
      <c r="L187" s="56"/>
      <c r="M187" s="55"/>
      <c r="N187" s="56"/>
      <c r="O187" s="56"/>
    </row>
    <row r="188" spans="1:15" s="57" customFormat="1" x14ac:dyDescent="0.25">
      <c r="A188" s="1" t="e">
        <f ca="1">IF(B188&gt;0,SUM(MAX($A$14:A187),1),0)</f>
        <v>#REF!</v>
      </c>
      <c r="B188" s="120">
        <v>101</v>
      </c>
      <c r="C188" s="121" t="s">
        <v>333</v>
      </c>
      <c r="D188" s="120">
        <v>2</v>
      </c>
      <c r="E188" s="123">
        <v>980</v>
      </c>
      <c r="F188" s="121"/>
      <c r="G188" s="120" t="s">
        <v>217</v>
      </c>
      <c r="H188" s="55"/>
      <c r="I188" s="56"/>
      <c r="J188" s="56"/>
      <c r="K188" s="56"/>
      <c r="L188" s="56"/>
      <c r="M188" s="55" t="e">
        <f>#REF!*#REF!</f>
        <v>#REF!</v>
      </c>
      <c r="N188" s="56"/>
      <c r="O188" s="56"/>
    </row>
    <row r="189" spans="1:15" s="68" customFormat="1" x14ac:dyDescent="0.25">
      <c r="A189" s="1"/>
      <c r="B189" s="141" t="s">
        <v>340</v>
      </c>
      <c r="C189" s="130" t="s">
        <v>341</v>
      </c>
      <c r="D189" s="142">
        <f>SUM(D190:D233)</f>
        <v>197</v>
      </c>
      <c r="E189" s="125"/>
      <c r="F189" s="130"/>
      <c r="G189" s="131"/>
      <c r="H189" s="67" t="e">
        <f>+#REF!+#REF!+#REF!</f>
        <v>#REF!</v>
      </c>
      <c r="I189" s="67" t="e">
        <f>+#REF!+#REF!+#REF!</f>
        <v>#REF!</v>
      </c>
      <c r="J189" s="67" t="e">
        <f>+#REF!+#REF!+#REF!</f>
        <v>#REF!</v>
      </c>
      <c r="K189" s="67"/>
      <c r="L189" s="67"/>
      <c r="M189" s="67" t="e">
        <f>+#REF!+#REF!+#REF!</f>
        <v>#REF!</v>
      </c>
      <c r="N189" s="67"/>
      <c r="O189" s="67"/>
    </row>
    <row r="190" spans="1:15" s="73" customFormat="1" ht="16.5" customHeight="1" x14ac:dyDescent="0.25">
      <c r="A190" s="1" t="e">
        <f ca="1">IF(B190&gt;0,SUM(MAX($A$14:A198),1),0)</f>
        <v>#REF!</v>
      </c>
      <c r="B190" s="238">
        <v>1</v>
      </c>
      <c r="C190" s="140" t="s">
        <v>506</v>
      </c>
      <c r="D190" s="120">
        <v>20</v>
      </c>
      <c r="E190" s="123">
        <v>980</v>
      </c>
      <c r="F190" s="140"/>
      <c r="G190" s="241" t="s">
        <v>344</v>
      </c>
      <c r="H190" s="72"/>
      <c r="I190" s="72"/>
      <c r="J190" s="72"/>
      <c r="K190" s="72"/>
      <c r="L190" s="72"/>
      <c r="M190" s="72" t="e">
        <f>#REF!*#REF!+#REF!*#REF!</f>
        <v>#REF!</v>
      </c>
      <c r="N190" s="72"/>
      <c r="O190" s="72"/>
    </row>
    <row r="191" spans="1:15" s="73" customFormat="1" x14ac:dyDescent="0.25">
      <c r="A191" s="1"/>
      <c r="B191" s="238"/>
      <c r="C191" s="140" t="s">
        <v>510</v>
      </c>
      <c r="D191" s="120">
        <v>4</v>
      </c>
      <c r="E191" s="123">
        <v>980</v>
      </c>
      <c r="F191" s="140"/>
      <c r="G191" s="241"/>
      <c r="H191" s="72"/>
      <c r="I191" s="72"/>
      <c r="J191" s="72"/>
      <c r="K191" s="72"/>
      <c r="L191" s="72"/>
      <c r="M191" s="72"/>
      <c r="N191" s="72"/>
      <c r="O191" s="72"/>
    </row>
    <row r="192" spans="1:15" s="73" customFormat="1" x14ac:dyDescent="0.25">
      <c r="A192" s="1"/>
      <c r="B192" s="238"/>
      <c r="C192" s="140" t="s">
        <v>507</v>
      </c>
      <c r="D192" s="120">
        <v>10</v>
      </c>
      <c r="E192" s="123">
        <v>4000</v>
      </c>
      <c r="F192" s="140"/>
      <c r="G192" s="241"/>
      <c r="H192" s="72"/>
      <c r="I192" s="72"/>
      <c r="J192" s="72"/>
      <c r="K192" s="72"/>
      <c r="L192" s="72"/>
      <c r="M192" s="72"/>
      <c r="N192" s="72"/>
      <c r="O192" s="72"/>
    </row>
    <row r="193" spans="1:15" s="73" customFormat="1" x14ac:dyDescent="0.25">
      <c r="A193" s="1" t="e">
        <f ca="1">IF(B193&gt;0,SUM(MAX($A$14:A190),1),0)</f>
        <v>#REF!</v>
      </c>
      <c r="B193" s="120">
        <v>2</v>
      </c>
      <c r="C193" s="121" t="s">
        <v>404</v>
      </c>
      <c r="D193" s="120">
        <v>3</v>
      </c>
      <c r="E193" s="123">
        <v>2400</v>
      </c>
      <c r="F193" s="121"/>
      <c r="G193" s="144" t="s">
        <v>344</v>
      </c>
      <c r="H193" s="72"/>
      <c r="I193" s="72"/>
      <c r="J193" s="72"/>
      <c r="K193" s="72"/>
      <c r="L193" s="72"/>
      <c r="M193" s="72" t="e">
        <f>#REF!*#REF!</f>
        <v>#REF!</v>
      </c>
      <c r="N193" s="72"/>
      <c r="O193" s="72"/>
    </row>
    <row r="194" spans="1:15" s="73" customFormat="1" x14ac:dyDescent="0.25">
      <c r="A194" s="1" t="e">
        <f ca="1">IF(B194&gt;0,SUM(MAX($A$14:A189),1),0)</f>
        <v>#REF!</v>
      </c>
      <c r="B194" s="238">
        <v>3</v>
      </c>
      <c r="C194" s="140" t="s">
        <v>511</v>
      </c>
      <c r="D194" s="120">
        <v>15</v>
      </c>
      <c r="E194" s="123">
        <v>8000</v>
      </c>
      <c r="F194" s="140"/>
      <c r="G194" s="241" t="s">
        <v>344</v>
      </c>
      <c r="H194" s="72"/>
      <c r="I194" s="72"/>
      <c r="J194" s="72"/>
      <c r="K194" s="72"/>
      <c r="L194" s="72"/>
      <c r="M194" s="72" t="e">
        <f>#REF!*#REF!+#REF!*#REF!</f>
        <v>#REF!</v>
      </c>
      <c r="N194" s="72"/>
      <c r="O194" s="72"/>
    </row>
    <row r="195" spans="1:15" s="73" customFormat="1" x14ac:dyDescent="0.25">
      <c r="A195" s="1">
        <f>IF(B195&gt;0,SUM(MAX($A$14:A194),1),0)</f>
        <v>0</v>
      </c>
      <c r="B195" s="238"/>
      <c r="C195" s="140" t="s">
        <v>512</v>
      </c>
      <c r="D195" s="120">
        <v>5</v>
      </c>
      <c r="E195" s="123">
        <v>22000</v>
      </c>
      <c r="F195" s="140"/>
      <c r="G195" s="241"/>
      <c r="H195" s="72"/>
      <c r="I195" s="72"/>
      <c r="J195" s="72"/>
      <c r="K195" s="72"/>
      <c r="L195" s="72"/>
      <c r="M195" s="72"/>
      <c r="N195" s="72"/>
      <c r="O195" s="72"/>
    </row>
    <row r="196" spans="1:15" s="73" customFormat="1" x14ac:dyDescent="0.25">
      <c r="A196" s="1" t="e">
        <f ca="1">IF(B196&gt;0,SUM(MAX($A$14:A204),1),0)</f>
        <v>#REF!</v>
      </c>
      <c r="B196" s="238">
        <v>4</v>
      </c>
      <c r="C196" s="242" t="s">
        <v>411</v>
      </c>
      <c r="D196" s="120">
        <v>2</v>
      </c>
      <c r="E196" s="123">
        <v>980</v>
      </c>
      <c r="F196" s="121"/>
      <c r="G196" s="241" t="s">
        <v>26</v>
      </c>
      <c r="H196" s="72"/>
      <c r="I196" s="72"/>
      <c r="J196" s="72"/>
      <c r="K196" s="72"/>
      <c r="L196" s="72"/>
      <c r="M196" s="72" t="e">
        <f>#REF!*#REF!+#REF!*#REF!</f>
        <v>#REF!</v>
      </c>
      <c r="N196" s="72"/>
      <c r="O196" s="72"/>
    </row>
    <row r="197" spans="1:15" s="79" customFormat="1" x14ac:dyDescent="0.25">
      <c r="A197" s="1">
        <f>IF(B197&gt;0,SUM(MAX($A$14:A196),1),0)</f>
        <v>0</v>
      </c>
      <c r="B197" s="238"/>
      <c r="C197" s="242"/>
      <c r="D197" s="120">
        <v>2</v>
      </c>
      <c r="E197" s="123">
        <v>1400</v>
      </c>
      <c r="F197" s="121"/>
      <c r="G197" s="241"/>
      <c r="H197" s="78"/>
      <c r="I197" s="78"/>
      <c r="J197" s="78"/>
      <c r="K197" s="78"/>
      <c r="L197" s="78"/>
      <c r="M197" s="78"/>
      <c r="N197" s="78"/>
      <c r="O197" s="78"/>
    </row>
    <row r="198" spans="1:15" s="73" customFormat="1" ht="25.5" customHeight="1" x14ac:dyDescent="0.25">
      <c r="A198" s="1" t="e">
        <f ca="1">IF(B198&gt;0,SUM(MAX($A$14:A195),1),0)</f>
        <v>#REF!</v>
      </c>
      <c r="B198" s="120">
        <v>5</v>
      </c>
      <c r="C198" s="121" t="s">
        <v>396</v>
      </c>
      <c r="D198" s="120">
        <v>14</v>
      </c>
      <c r="E198" s="123">
        <v>4000</v>
      </c>
      <c r="F198" s="121"/>
      <c r="G198" s="144" t="s">
        <v>26</v>
      </c>
      <c r="H198" s="72"/>
      <c r="I198" s="72"/>
      <c r="J198" s="72"/>
      <c r="K198" s="72"/>
      <c r="L198" s="72"/>
      <c r="M198" s="72" t="e">
        <f>#REF!*#REF!</f>
        <v>#REF!</v>
      </c>
      <c r="N198" s="72"/>
      <c r="O198" s="72"/>
    </row>
    <row r="199" spans="1:15" s="73" customFormat="1" ht="21.75" customHeight="1" x14ac:dyDescent="0.25">
      <c r="A199" s="1"/>
      <c r="B199" s="120">
        <v>6</v>
      </c>
      <c r="C199" s="121" t="s">
        <v>401</v>
      </c>
      <c r="D199" s="120">
        <v>4</v>
      </c>
      <c r="E199" s="123">
        <v>980</v>
      </c>
      <c r="F199" s="121"/>
      <c r="G199" s="144" t="s">
        <v>224</v>
      </c>
      <c r="H199" s="72"/>
      <c r="I199" s="72"/>
      <c r="J199" s="72"/>
      <c r="K199" s="72"/>
      <c r="L199" s="72"/>
      <c r="M199" s="72" t="e">
        <f>#REF!*#REF!</f>
        <v>#REF!</v>
      </c>
      <c r="N199" s="72"/>
      <c r="O199" s="72"/>
    </row>
    <row r="200" spans="1:15" s="73" customFormat="1" ht="21.75" customHeight="1" x14ac:dyDescent="0.25">
      <c r="A200" s="1"/>
      <c r="B200" s="120">
        <v>7</v>
      </c>
      <c r="C200" s="121" t="s">
        <v>381</v>
      </c>
      <c r="D200" s="120">
        <v>2</v>
      </c>
      <c r="E200" s="123">
        <v>2400</v>
      </c>
      <c r="F200" s="121"/>
      <c r="G200" s="144" t="s">
        <v>403</v>
      </c>
      <c r="H200" s="72"/>
      <c r="I200" s="72"/>
      <c r="J200" s="72"/>
      <c r="K200" s="72"/>
      <c r="L200" s="72"/>
      <c r="M200" s="72" t="e">
        <f>#REF!*#REF!</f>
        <v>#REF!</v>
      </c>
      <c r="N200" s="72"/>
      <c r="O200" s="72"/>
    </row>
    <row r="201" spans="1:15" s="73" customFormat="1" ht="21.75" customHeight="1" x14ac:dyDescent="0.25">
      <c r="A201" s="1" t="e">
        <f ca="1">IF(B201&gt;0,SUM(MAX($A$14:A203),1),0)</f>
        <v>#REF!</v>
      </c>
      <c r="B201" s="120">
        <v>8</v>
      </c>
      <c r="C201" s="121" t="s">
        <v>408</v>
      </c>
      <c r="D201" s="120">
        <v>1</v>
      </c>
      <c r="E201" s="123">
        <v>2400</v>
      </c>
      <c r="F201" s="121"/>
      <c r="G201" s="144" t="s">
        <v>403</v>
      </c>
      <c r="H201" s="72"/>
      <c r="I201" s="72"/>
      <c r="J201" s="72"/>
      <c r="K201" s="72"/>
      <c r="L201" s="72"/>
      <c r="M201" s="72" t="e">
        <f>#REF!*#REF!</f>
        <v>#REF!</v>
      </c>
      <c r="N201" s="72"/>
      <c r="O201" s="72"/>
    </row>
    <row r="202" spans="1:15" s="73" customFormat="1" ht="21.75" customHeight="1" x14ac:dyDescent="0.25">
      <c r="A202" s="1" t="e">
        <f ca="1">IF(B202&gt;0,SUM(MAX($A$14:A204),1),0)</f>
        <v>#REF!</v>
      </c>
      <c r="B202" s="120">
        <v>9</v>
      </c>
      <c r="C202" s="121" t="s">
        <v>410</v>
      </c>
      <c r="D202" s="120">
        <v>2</v>
      </c>
      <c r="E202" s="123">
        <v>980</v>
      </c>
      <c r="F202" s="121"/>
      <c r="G202" s="144" t="s">
        <v>382</v>
      </c>
      <c r="H202" s="72"/>
      <c r="I202" s="72"/>
      <c r="J202" s="72"/>
      <c r="K202" s="72"/>
      <c r="L202" s="72"/>
      <c r="M202" s="72" t="e">
        <f>#REF!*#REF!</f>
        <v>#REF!</v>
      </c>
      <c r="N202" s="72"/>
      <c r="O202" s="72"/>
    </row>
    <row r="203" spans="1:15" s="73" customFormat="1" ht="21.75" customHeight="1" x14ac:dyDescent="0.25">
      <c r="A203" s="1" t="e">
        <f ca="1">IF(B203&gt;0,SUM(MAX($A$14:A200),1),0)</f>
        <v>#REF!</v>
      </c>
      <c r="B203" s="120">
        <v>10</v>
      </c>
      <c r="C203" s="121" t="s">
        <v>406</v>
      </c>
      <c r="D203" s="120">
        <v>3</v>
      </c>
      <c r="E203" s="123">
        <v>1900</v>
      </c>
      <c r="F203" s="121"/>
      <c r="G203" s="144" t="s">
        <v>202</v>
      </c>
      <c r="H203" s="72"/>
      <c r="I203" s="72"/>
      <c r="J203" s="72"/>
      <c r="K203" s="72"/>
      <c r="L203" s="72"/>
      <c r="M203" s="72" t="e">
        <f>#REF!*#REF!</f>
        <v>#REF!</v>
      </c>
      <c r="N203" s="72"/>
      <c r="O203" s="72"/>
    </row>
    <row r="204" spans="1:15" s="73" customFormat="1" ht="21.75" customHeight="1" x14ac:dyDescent="0.25">
      <c r="A204" s="1" t="e">
        <f ca="1">IF(B204&gt;0,SUM(MAX($A$14:A203),1),0)</f>
        <v>#REF!</v>
      </c>
      <c r="B204" s="120">
        <v>11</v>
      </c>
      <c r="C204" s="121" t="s">
        <v>409</v>
      </c>
      <c r="D204" s="120">
        <v>1</v>
      </c>
      <c r="E204" s="123">
        <v>1500</v>
      </c>
      <c r="F204" s="121"/>
      <c r="G204" s="144" t="s">
        <v>202</v>
      </c>
      <c r="H204" s="72"/>
      <c r="I204" s="72"/>
      <c r="J204" s="72"/>
      <c r="K204" s="72"/>
      <c r="L204" s="72"/>
      <c r="M204" s="72" t="e">
        <f>#REF!*#REF!</f>
        <v>#REF!</v>
      </c>
      <c r="N204" s="72"/>
      <c r="O204" s="72"/>
    </row>
    <row r="205" spans="1:15" s="73" customFormat="1" ht="21.75" customHeight="1" x14ac:dyDescent="0.25">
      <c r="A205" s="1" t="e">
        <f ca="1">IF(B205&gt;0,SUM(MAX($A$14:A209),1),0)</f>
        <v>#REF!</v>
      </c>
      <c r="B205" s="120">
        <v>12</v>
      </c>
      <c r="C205" s="121" t="s">
        <v>418</v>
      </c>
      <c r="D205" s="120">
        <v>7</v>
      </c>
      <c r="E205" s="123">
        <v>1120</v>
      </c>
      <c r="F205" s="121"/>
      <c r="G205" s="146" t="s">
        <v>344</v>
      </c>
      <c r="H205" s="72"/>
      <c r="I205" s="72"/>
      <c r="J205" s="72"/>
      <c r="K205" s="72"/>
      <c r="L205" s="72"/>
      <c r="M205" s="72" t="e">
        <f>#REF!*#REF!</f>
        <v>#REF!</v>
      </c>
      <c r="N205" s="72"/>
      <c r="O205" s="72"/>
    </row>
    <row r="206" spans="1:15" s="73" customFormat="1" ht="21.75" customHeight="1" x14ac:dyDescent="0.25">
      <c r="A206" s="1" t="e">
        <f ca="1">IF(B206&gt;0,SUM(MAX($A$14:A204),1),0)</f>
        <v>#REF!</v>
      </c>
      <c r="B206" s="120">
        <v>13</v>
      </c>
      <c r="C206" s="121" t="s">
        <v>357</v>
      </c>
      <c r="D206" s="120">
        <v>28</v>
      </c>
      <c r="E206" s="123">
        <v>8144</v>
      </c>
      <c r="F206" s="121"/>
      <c r="G206" s="146" t="s">
        <v>344</v>
      </c>
      <c r="H206" s="72"/>
      <c r="I206" s="72"/>
      <c r="J206" s="72"/>
      <c r="K206" s="72"/>
      <c r="L206" s="72"/>
      <c r="M206" s="72" t="e">
        <f>#REF!*#REF!</f>
        <v>#REF!</v>
      </c>
      <c r="N206" s="72"/>
      <c r="O206" s="72"/>
    </row>
    <row r="207" spans="1:15" s="73" customFormat="1" ht="21.75" customHeight="1" x14ac:dyDescent="0.25">
      <c r="A207" s="1" t="e">
        <f ca="1">IF(B207&gt;0,SUM(MAX($A$14:A210),1),0)</f>
        <v>#REF!</v>
      </c>
      <c r="B207" s="120">
        <v>14</v>
      </c>
      <c r="C207" s="121" t="s">
        <v>422</v>
      </c>
      <c r="D207" s="120">
        <v>14</v>
      </c>
      <c r="E207" s="123">
        <v>4000</v>
      </c>
      <c r="F207" s="121"/>
      <c r="G207" s="144" t="s">
        <v>26</v>
      </c>
      <c r="H207" s="72"/>
      <c r="I207" s="72"/>
      <c r="J207" s="72"/>
      <c r="K207" s="72"/>
      <c r="L207" s="72"/>
      <c r="M207" s="72" t="e">
        <f>#REF!*#REF!</f>
        <v>#REF!</v>
      </c>
      <c r="N207" s="72"/>
      <c r="O207" s="72"/>
    </row>
    <row r="208" spans="1:15" s="73" customFormat="1" ht="21.75" customHeight="1" x14ac:dyDescent="0.25">
      <c r="A208" s="1" t="e">
        <f ca="1">IF(B208&gt;0,SUM(MAX($A$14:A206),1),0)</f>
        <v>#REF!</v>
      </c>
      <c r="B208" s="120">
        <v>15</v>
      </c>
      <c r="C208" s="121" t="s">
        <v>414</v>
      </c>
      <c r="D208" s="120">
        <v>4</v>
      </c>
      <c r="E208" s="123">
        <v>4000</v>
      </c>
      <c r="F208" s="121"/>
      <c r="G208" s="144" t="s">
        <v>224</v>
      </c>
      <c r="H208" s="72"/>
      <c r="I208" s="72"/>
      <c r="J208" s="72"/>
      <c r="K208" s="72"/>
      <c r="L208" s="72"/>
      <c r="M208" s="72" t="e">
        <f>#REF!*#REF!</f>
        <v>#REF!</v>
      </c>
      <c r="N208" s="72"/>
      <c r="O208" s="72"/>
    </row>
    <row r="209" spans="1:15" s="73" customFormat="1" ht="21.75" customHeight="1" x14ac:dyDescent="0.25">
      <c r="A209" s="1" t="e">
        <f ca="1">IF(B209&gt;0,SUM(MAX($A$14:A208),1),0)</f>
        <v>#REF!</v>
      </c>
      <c r="B209" s="120">
        <v>16</v>
      </c>
      <c r="C209" s="121" t="s">
        <v>416</v>
      </c>
      <c r="D209" s="120">
        <v>7</v>
      </c>
      <c r="E209" s="123">
        <v>1120</v>
      </c>
      <c r="F209" s="121"/>
      <c r="G209" s="144" t="s">
        <v>224</v>
      </c>
      <c r="H209" s="72"/>
      <c r="I209" s="72"/>
      <c r="J209" s="72"/>
      <c r="K209" s="72"/>
      <c r="L209" s="72"/>
      <c r="M209" s="72" t="e">
        <f>#REF!*#REF!</f>
        <v>#REF!</v>
      </c>
      <c r="N209" s="72"/>
      <c r="O209" s="72"/>
    </row>
    <row r="210" spans="1:15" s="73" customFormat="1" ht="21.75" customHeight="1" x14ac:dyDescent="0.25">
      <c r="A210" s="1" t="e">
        <f ca="1">IF(B210&gt;0,SUM(MAX($A$14:A209),1),0)</f>
        <v>#REF!</v>
      </c>
      <c r="B210" s="120">
        <v>17</v>
      </c>
      <c r="C210" s="121" t="s">
        <v>420</v>
      </c>
      <c r="D210" s="120">
        <v>5</v>
      </c>
      <c r="E210" s="123">
        <v>980</v>
      </c>
      <c r="F210" s="121"/>
      <c r="G210" s="144" t="s">
        <v>382</v>
      </c>
      <c r="H210" s="72"/>
      <c r="I210" s="72"/>
      <c r="J210" s="72"/>
      <c r="K210" s="72"/>
      <c r="L210" s="72"/>
      <c r="M210" s="72" t="e">
        <f>#REF!*#REF!</f>
        <v>#REF!</v>
      </c>
      <c r="N210" s="72"/>
      <c r="O210" s="72"/>
    </row>
    <row r="211" spans="1:15" s="73" customFormat="1" ht="21.75" customHeight="1" x14ac:dyDescent="0.25">
      <c r="A211" s="1" t="e">
        <f ca="1">IF(B211&gt;0,SUM(MAX($A$14:A230),1),0)</f>
        <v>#REF!</v>
      </c>
      <c r="B211" s="120">
        <v>18</v>
      </c>
      <c r="C211" s="121" t="s">
        <v>432</v>
      </c>
      <c r="D211" s="120">
        <v>3</v>
      </c>
      <c r="E211" s="123">
        <v>1900</v>
      </c>
      <c r="F211" s="121"/>
      <c r="G211" s="144" t="s">
        <v>382</v>
      </c>
      <c r="H211" s="72"/>
      <c r="I211" s="72"/>
      <c r="J211" s="72"/>
      <c r="K211" s="72"/>
      <c r="L211" s="72"/>
      <c r="M211" s="72" t="e">
        <f>#REF!*#REF!</f>
        <v>#REF!</v>
      </c>
      <c r="N211" s="72"/>
      <c r="O211" s="72"/>
    </row>
    <row r="212" spans="1:15" s="73" customFormat="1" x14ac:dyDescent="0.25">
      <c r="A212" s="1" t="e">
        <f ca="1">IF(B212&gt;0,SUM(MAX($A$14:A231),1),0)</f>
        <v>#REF!</v>
      </c>
      <c r="B212" s="238">
        <v>19</v>
      </c>
      <c r="C212" s="242" t="s">
        <v>434</v>
      </c>
      <c r="D212" s="120">
        <v>1</v>
      </c>
      <c r="E212" s="123">
        <v>980</v>
      </c>
      <c r="F212" s="121"/>
      <c r="G212" s="244" t="s">
        <v>382</v>
      </c>
      <c r="H212" s="72"/>
      <c r="I212" s="72"/>
      <c r="J212" s="72"/>
      <c r="K212" s="72"/>
      <c r="L212" s="72"/>
      <c r="M212" s="72" t="e">
        <f>#REF!*#REF!+#REF!*#REF!</f>
        <v>#REF!</v>
      </c>
      <c r="N212" s="72"/>
      <c r="O212" s="72"/>
    </row>
    <row r="213" spans="1:15" s="73" customFormat="1" x14ac:dyDescent="0.25">
      <c r="A213" s="1">
        <f>IF(B213&gt;0,SUM(MAX($A$14:A212),1),0)</f>
        <v>0</v>
      </c>
      <c r="B213" s="238"/>
      <c r="C213" s="242"/>
      <c r="D213" s="120">
        <v>3</v>
      </c>
      <c r="E213" s="123">
        <v>1400</v>
      </c>
      <c r="F213" s="121"/>
      <c r="G213" s="244"/>
      <c r="H213" s="72"/>
      <c r="I213" s="72"/>
      <c r="J213" s="72"/>
      <c r="K213" s="72"/>
      <c r="L213" s="72"/>
      <c r="M213" s="72"/>
      <c r="N213" s="72"/>
      <c r="O213" s="72"/>
    </row>
    <row r="214" spans="1:15" s="73" customFormat="1" x14ac:dyDescent="0.25">
      <c r="A214" s="1" t="e">
        <f ca="1">IF(B214&gt;0,SUM(MAX($A$14:A213),1),0)</f>
        <v>#REF!</v>
      </c>
      <c r="B214" s="120">
        <v>20</v>
      </c>
      <c r="C214" s="121" t="s">
        <v>435</v>
      </c>
      <c r="D214" s="120">
        <v>2</v>
      </c>
      <c r="E214" s="123">
        <v>980</v>
      </c>
      <c r="F214" s="121"/>
      <c r="G214" s="144" t="s">
        <v>382</v>
      </c>
      <c r="H214" s="72"/>
      <c r="I214" s="72"/>
      <c r="J214" s="72"/>
      <c r="K214" s="72"/>
      <c r="L214" s="72"/>
      <c r="M214" s="72" t="e">
        <f>#REF!*#REF!</f>
        <v>#REF!</v>
      </c>
      <c r="N214" s="72"/>
      <c r="O214" s="72"/>
    </row>
    <row r="215" spans="1:15" s="73" customFormat="1" x14ac:dyDescent="0.25">
      <c r="A215" s="1" t="e">
        <f ca="1">IF(B215&gt;0,SUM(MAX($A$14:A214),1),0)</f>
        <v>#REF!</v>
      </c>
      <c r="B215" s="120">
        <v>21</v>
      </c>
      <c r="C215" s="121" t="s">
        <v>436</v>
      </c>
      <c r="D215" s="120">
        <v>1</v>
      </c>
      <c r="E215" s="123">
        <v>1120</v>
      </c>
      <c r="F215" s="121"/>
      <c r="G215" s="144" t="s">
        <v>382</v>
      </c>
      <c r="H215" s="72"/>
      <c r="I215" s="72"/>
      <c r="J215" s="72"/>
      <c r="K215" s="72"/>
      <c r="L215" s="72"/>
      <c r="M215" s="72" t="e">
        <f>#REF!*#REF!</f>
        <v>#REF!</v>
      </c>
      <c r="N215" s="72"/>
      <c r="O215" s="72"/>
    </row>
    <row r="216" spans="1:15" s="73" customFormat="1" x14ac:dyDescent="0.25">
      <c r="A216" s="1" t="e">
        <f ca="1">IF(B216&gt;0,SUM(MAX($A$14:A215),1),0)</f>
        <v>#REF!</v>
      </c>
      <c r="B216" s="238">
        <v>22</v>
      </c>
      <c r="C216" s="242" t="s">
        <v>437</v>
      </c>
      <c r="D216" s="120">
        <v>1</v>
      </c>
      <c r="E216" s="123">
        <v>980</v>
      </c>
      <c r="F216" s="121"/>
      <c r="G216" s="241" t="s">
        <v>382</v>
      </c>
      <c r="H216" s="72"/>
      <c r="I216" s="72"/>
      <c r="J216" s="72"/>
      <c r="K216" s="72"/>
      <c r="L216" s="72"/>
      <c r="M216" s="72" t="e">
        <f>#REF!*#REF!+#REF!*#REF!</f>
        <v>#REF!</v>
      </c>
      <c r="N216" s="72"/>
      <c r="O216" s="72"/>
    </row>
    <row r="217" spans="1:15" s="73" customFormat="1" x14ac:dyDescent="0.25">
      <c r="A217" s="1">
        <f>IF(B217&gt;0,SUM(MAX($A$14:A216),1),0)</f>
        <v>0</v>
      </c>
      <c r="B217" s="238"/>
      <c r="C217" s="242"/>
      <c r="D217" s="120">
        <v>1</v>
      </c>
      <c r="E217" s="123">
        <v>1120</v>
      </c>
      <c r="F217" s="121"/>
      <c r="G217" s="241"/>
      <c r="H217" s="72"/>
      <c r="I217" s="72"/>
      <c r="J217" s="72"/>
      <c r="K217" s="72"/>
      <c r="L217" s="72"/>
      <c r="M217" s="72"/>
      <c r="N217" s="72"/>
      <c r="O217" s="72"/>
    </row>
    <row r="218" spans="1:15" s="73" customFormat="1" x14ac:dyDescent="0.25">
      <c r="A218" s="1" t="e">
        <f ca="1">IF(B218&gt;0,SUM(MAX($A$14:A233),1),0)</f>
        <v>#REF!</v>
      </c>
      <c r="B218" s="238">
        <v>23</v>
      </c>
      <c r="C218" s="242" t="s">
        <v>441</v>
      </c>
      <c r="D218" s="120">
        <v>1</v>
      </c>
      <c r="E218" s="123">
        <v>980</v>
      </c>
      <c r="F218" s="121"/>
      <c r="G218" s="241" t="s">
        <v>382</v>
      </c>
      <c r="H218" s="72"/>
      <c r="I218" s="72"/>
      <c r="J218" s="72"/>
      <c r="K218" s="72"/>
      <c r="L218" s="72"/>
      <c r="M218" s="72" t="e">
        <f>#REF!*#REF!+#REF!*#REF!</f>
        <v>#REF!</v>
      </c>
      <c r="N218" s="72"/>
      <c r="O218" s="72"/>
    </row>
    <row r="219" spans="1:15" s="76" customFormat="1" x14ac:dyDescent="0.25">
      <c r="A219" s="1">
        <f>IF(B219&gt;0,SUM(MAX($A$14:A218),1),0)</f>
        <v>0</v>
      </c>
      <c r="B219" s="238"/>
      <c r="C219" s="242"/>
      <c r="D219" s="120">
        <v>1</v>
      </c>
      <c r="E219" s="123">
        <v>900</v>
      </c>
      <c r="F219" s="121"/>
      <c r="G219" s="241"/>
      <c r="H219" s="75"/>
      <c r="I219" s="75"/>
      <c r="J219" s="75"/>
      <c r="K219" s="75"/>
      <c r="L219" s="75"/>
      <c r="M219" s="72"/>
      <c r="N219" s="75"/>
      <c r="O219" s="75"/>
    </row>
    <row r="220" spans="1:15" s="73" customFormat="1" x14ac:dyDescent="0.25">
      <c r="A220" s="1" t="e">
        <f ca="1">IF(B220&gt;0,SUM(MAX($A$14:A219),1),0)</f>
        <v>#REF!</v>
      </c>
      <c r="B220" s="120">
        <v>24</v>
      </c>
      <c r="C220" s="121" t="s">
        <v>442</v>
      </c>
      <c r="D220" s="120">
        <v>2</v>
      </c>
      <c r="E220" s="123">
        <v>980</v>
      </c>
      <c r="F220" s="121"/>
      <c r="G220" s="144" t="s">
        <v>382</v>
      </c>
      <c r="H220" s="72"/>
      <c r="I220" s="72"/>
      <c r="J220" s="72"/>
      <c r="K220" s="72"/>
      <c r="L220" s="72"/>
      <c r="M220" s="72" t="e">
        <f>#REF!*#REF!</f>
        <v>#REF!</v>
      </c>
      <c r="N220" s="72"/>
      <c r="O220" s="72"/>
    </row>
    <row r="221" spans="1:15" s="73" customFormat="1" ht="16.5" customHeight="1" x14ac:dyDescent="0.25">
      <c r="A221" s="1" t="e">
        <f ca="1">IF(B221&gt;0,SUM(MAX($A$14:A233),1),0)</f>
        <v>#REF!</v>
      </c>
      <c r="B221" s="238">
        <v>25</v>
      </c>
      <c r="C221" s="242" t="s">
        <v>504</v>
      </c>
      <c r="D221" s="120">
        <v>1</v>
      </c>
      <c r="E221" s="123">
        <v>980</v>
      </c>
      <c r="F221" s="121"/>
      <c r="G221" s="241" t="s">
        <v>403</v>
      </c>
      <c r="H221" s="72"/>
      <c r="I221" s="72"/>
      <c r="J221" s="72"/>
      <c r="K221" s="72"/>
      <c r="L221" s="72"/>
      <c r="M221" s="72" t="e">
        <f>#REF!*#REF!+#REF!*#REF!</f>
        <v>#REF!</v>
      </c>
      <c r="N221" s="72"/>
      <c r="O221" s="72"/>
    </row>
    <row r="222" spans="1:15" s="73" customFormat="1" x14ac:dyDescent="0.25">
      <c r="A222" s="1"/>
      <c r="B222" s="238"/>
      <c r="C222" s="242"/>
      <c r="D222" s="120">
        <v>1</v>
      </c>
      <c r="E222" s="123">
        <v>1120</v>
      </c>
      <c r="F222" s="121"/>
      <c r="G222" s="241"/>
      <c r="H222" s="72"/>
      <c r="I222" s="72"/>
      <c r="J222" s="72"/>
      <c r="K222" s="72"/>
      <c r="L222" s="72"/>
      <c r="M222" s="72"/>
      <c r="N222" s="72"/>
      <c r="O222" s="72"/>
    </row>
    <row r="223" spans="1:15" s="73" customFormat="1" ht="22.5" customHeight="1" x14ac:dyDescent="0.25">
      <c r="A223" s="1">
        <f>IF(B223&gt;0,SUM(MAX($A$14:A221),1),0)</f>
        <v>0</v>
      </c>
      <c r="B223" s="238"/>
      <c r="C223" s="140" t="s">
        <v>505</v>
      </c>
      <c r="D223" s="120">
        <v>1</v>
      </c>
      <c r="E223" s="123">
        <v>1120</v>
      </c>
      <c r="F223" s="140"/>
      <c r="G223" s="241"/>
      <c r="H223" s="72"/>
      <c r="I223" s="72"/>
      <c r="J223" s="72"/>
      <c r="K223" s="72"/>
      <c r="L223" s="72"/>
      <c r="M223" s="72"/>
      <c r="N223" s="72"/>
      <c r="O223" s="72"/>
    </row>
    <row r="224" spans="1:15" s="73" customFormat="1" ht="22.5" customHeight="1" x14ac:dyDescent="0.25">
      <c r="A224" s="1" t="e">
        <f ca="1">IF(B224&gt;0,SUM(MAX($A$14:A210),1),0)</f>
        <v>#REF!</v>
      </c>
      <c r="B224" s="120">
        <v>25</v>
      </c>
      <c r="C224" s="121" t="s">
        <v>424</v>
      </c>
      <c r="D224" s="120">
        <v>4</v>
      </c>
      <c r="E224" s="123">
        <v>980</v>
      </c>
      <c r="F224" s="121"/>
      <c r="G224" s="144" t="s">
        <v>389</v>
      </c>
      <c r="H224" s="72"/>
      <c r="I224" s="72"/>
      <c r="J224" s="72"/>
      <c r="K224" s="72"/>
      <c r="L224" s="72"/>
      <c r="M224" s="72" t="e">
        <f>#REF!*#REF!</f>
        <v>#REF!</v>
      </c>
      <c r="N224" s="72"/>
      <c r="O224" s="72"/>
    </row>
    <row r="225" spans="1:202" s="73" customFormat="1" ht="22.5" customHeight="1" x14ac:dyDescent="0.25">
      <c r="A225" s="1" t="e">
        <f ca="1">IF(B225&gt;0,SUM(MAX($A$14:A233),1),0)</f>
        <v>#REF!</v>
      </c>
      <c r="B225" s="120">
        <v>16</v>
      </c>
      <c r="C225" s="121" t="s">
        <v>440</v>
      </c>
      <c r="D225" s="120">
        <v>1</v>
      </c>
      <c r="E225" s="123">
        <v>1120</v>
      </c>
      <c r="F225" s="121"/>
      <c r="G225" s="144" t="s">
        <v>389</v>
      </c>
      <c r="H225" s="72"/>
      <c r="I225" s="72"/>
      <c r="J225" s="72"/>
      <c r="K225" s="72"/>
      <c r="L225" s="72"/>
      <c r="M225" s="72" t="e">
        <f>#REF!*#REF!</f>
        <v>#REF!</v>
      </c>
      <c r="N225" s="72"/>
      <c r="O225" s="72"/>
    </row>
    <row r="226" spans="1:202" s="73" customFormat="1" ht="22.5" customHeight="1" x14ac:dyDescent="0.25">
      <c r="A226" s="1" t="e">
        <f ca="1">IF(B226&gt;0,SUM(MAX($A$14:A224),1),0)</f>
        <v>#REF!</v>
      </c>
      <c r="B226" s="120">
        <v>17</v>
      </c>
      <c r="C226" s="121" t="s">
        <v>426</v>
      </c>
      <c r="D226" s="120">
        <v>3</v>
      </c>
      <c r="E226" s="123">
        <v>2500</v>
      </c>
      <c r="F226" s="121"/>
      <c r="G226" s="144" t="s">
        <v>427</v>
      </c>
      <c r="H226" s="72"/>
      <c r="I226" s="72"/>
      <c r="J226" s="72"/>
      <c r="K226" s="72"/>
      <c r="L226" s="72"/>
      <c r="M226" s="72" t="e">
        <f>#REF!*#REF!</f>
        <v>#REF!</v>
      </c>
      <c r="N226" s="72"/>
      <c r="O226" s="72"/>
    </row>
    <row r="227" spans="1:202" s="73" customFormat="1" ht="14.25" customHeight="1" x14ac:dyDescent="0.25">
      <c r="A227" s="1" t="e">
        <f ca="1">IF(B227&gt;0,SUM(MAX($A$14:A226),1),0)</f>
        <v>#REF!</v>
      </c>
      <c r="B227" s="238">
        <v>18</v>
      </c>
      <c r="C227" s="242" t="s">
        <v>428</v>
      </c>
      <c r="D227" s="120">
        <v>5</v>
      </c>
      <c r="E227" s="123">
        <v>1120</v>
      </c>
      <c r="F227" s="121"/>
      <c r="G227" s="241" t="s">
        <v>429</v>
      </c>
      <c r="H227" s="72"/>
      <c r="I227" s="72"/>
      <c r="J227" s="72"/>
      <c r="K227" s="72"/>
      <c r="L227" s="72"/>
      <c r="M227" s="72" t="e">
        <f>#REF!*#REF!+#REF!*#REF!+#REF!*#REF!</f>
        <v>#REF!</v>
      </c>
      <c r="N227" s="72"/>
      <c r="O227" s="72"/>
    </row>
    <row r="228" spans="1:202" s="73" customFormat="1" ht="16.5" customHeight="1" x14ac:dyDescent="0.25">
      <c r="A228" s="1">
        <f>IF(B228&gt;0,SUM(MAX($A$14:A227),1),0)</f>
        <v>0</v>
      </c>
      <c r="B228" s="238"/>
      <c r="C228" s="242"/>
      <c r="D228" s="120">
        <v>2</v>
      </c>
      <c r="E228" s="123">
        <v>2500</v>
      </c>
      <c r="F228" s="121"/>
      <c r="G228" s="241"/>
      <c r="H228" s="72"/>
      <c r="I228" s="72"/>
      <c r="J228" s="72"/>
      <c r="K228" s="72"/>
      <c r="L228" s="72"/>
      <c r="M228" s="72"/>
      <c r="N228" s="72"/>
      <c r="O228" s="72"/>
    </row>
    <row r="229" spans="1:202" s="73" customFormat="1" x14ac:dyDescent="0.25">
      <c r="A229" s="1">
        <f>IF(B229&gt;0,SUM(MAX($A$14:A228),1),0)</f>
        <v>0</v>
      </c>
      <c r="B229" s="238"/>
      <c r="C229" s="121" t="s">
        <v>430</v>
      </c>
      <c r="D229" s="120">
        <v>1</v>
      </c>
      <c r="E229" s="123">
        <v>1120</v>
      </c>
      <c r="F229" s="121"/>
      <c r="G229" s="144" t="s">
        <v>431</v>
      </c>
      <c r="H229" s="72"/>
      <c r="I229" s="72"/>
      <c r="J229" s="72"/>
      <c r="K229" s="72"/>
      <c r="L229" s="72"/>
      <c r="M229" s="72"/>
      <c r="N229" s="72"/>
      <c r="O229" s="72"/>
    </row>
    <row r="230" spans="1:202" s="73" customFormat="1" ht="22.5" customHeight="1" x14ac:dyDescent="0.25">
      <c r="A230" s="1" t="e">
        <f ca="1">IF(B230&gt;0,SUM(MAX($A$14:A229),1),0)</f>
        <v>#REF!</v>
      </c>
      <c r="B230" s="120">
        <v>19</v>
      </c>
      <c r="C230" s="121" t="s">
        <v>391</v>
      </c>
      <c r="D230" s="120">
        <v>4</v>
      </c>
      <c r="E230" s="123">
        <v>980</v>
      </c>
      <c r="F230" s="121"/>
      <c r="G230" s="144" t="s">
        <v>392</v>
      </c>
      <c r="H230" s="72"/>
      <c r="I230" s="72"/>
      <c r="J230" s="72"/>
      <c r="K230" s="72"/>
      <c r="L230" s="72"/>
      <c r="M230" s="72" t="e">
        <f>#REF!*#REF!</f>
        <v>#REF!</v>
      </c>
      <c r="N230" s="72"/>
      <c r="O230" s="72"/>
    </row>
    <row r="231" spans="1:202" s="73" customFormat="1" ht="22.5" customHeight="1" x14ac:dyDescent="0.25">
      <c r="A231" s="1" t="e">
        <f ca="1">IF(B231&gt;0,SUM(MAX($A$14:A230),1),0)</f>
        <v>#REF!</v>
      </c>
      <c r="B231" s="120">
        <v>20</v>
      </c>
      <c r="C231" s="121" t="s">
        <v>433</v>
      </c>
      <c r="D231" s="120">
        <v>2</v>
      </c>
      <c r="E231" s="123">
        <v>980</v>
      </c>
      <c r="F231" s="121"/>
      <c r="G231" s="144" t="s">
        <v>355</v>
      </c>
      <c r="H231" s="72"/>
      <c r="I231" s="72"/>
      <c r="J231" s="72"/>
      <c r="K231" s="72"/>
      <c r="L231" s="72"/>
      <c r="M231" s="72" t="e">
        <f>#REF!*#REF!</f>
        <v>#REF!</v>
      </c>
      <c r="N231" s="72"/>
      <c r="O231" s="72"/>
    </row>
    <row r="232" spans="1:202" s="73" customFormat="1" ht="22.5" customHeight="1" x14ac:dyDescent="0.25">
      <c r="A232" s="1" t="e">
        <f ca="1">IF(B232&gt;0,SUM(MAX($A$14:A231),1),0)</f>
        <v>#REF!</v>
      </c>
      <c r="B232" s="120">
        <v>21</v>
      </c>
      <c r="C232" s="121" t="s">
        <v>438</v>
      </c>
      <c r="D232" s="120">
        <v>1</v>
      </c>
      <c r="E232" s="123">
        <v>900</v>
      </c>
      <c r="F232" s="121"/>
      <c r="G232" s="144" t="s">
        <v>202</v>
      </c>
      <c r="H232" s="72"/>
      <c r="I232" s="72"/>
      <c r="J232" s="72"/>
      <c r="K232" s="72"/>
      <c r="L232" s="72"/>
      <c r="M232" s="72" t="e">
        <f>#REF!*#REF!</f>
        <v>#REF!</v>
      </c>
      <c r="N232" s="72"/>
      <c r="O232" s="72"/>
    </row>
    <row r="233" spans="1:202" s="73" customFormat="1" ht="22.5" customHeight="1" x14ac:dyDescent="0.25">
      <c r="A233" s="1" t="e">
        <f ca="1">IF(B233&gt;0,SUM(MAX($A$14:A232),1),0)</f>
        <v>#REF!</v>
      </c>
      <c r="B233" s="120">
        <v>22</v>
      </c>
      <c r="C233" s="121" t="s">
        <v>439</v>
      </c>
      <c r="D233" s="120">
        <v>2</v>
      </c>
      <c r="E233" s="123">
        <v>1400</v>
      </c>
      <c r="F233" s="121"/>
      <c r="G233" s="144" t="s">
        <v>202</v>
      </c>
      <c r="H233" s="72"/>
      <c r="I233" s="72"/>
      <c r="J233" s="72"/>
      <c r="K233" s="72"/>
      <c r="L233" s="72"/>
      <c r="M233" s="72" t="e">
        <f>#REF!*#REF!</f>
        <v>#REF!</v>
      </c>
      <c r="N233" s="72"/>
      <c r="O233" s="72"/>
    </row>
    <row r="234" spans="1:202" s="82" customFormat="1" ht="20.25" customHeight="1" x14ac:dyDescent="0.25">
      <c r="A234" s="1"/>
      <c r="B234" s="134" t="s">
        <v>444</v>
      </c>
      <c r="C234" s="130" t="s">
        <v>531</v>
      </c>
      <c r="D234" s="148">
        <f>SUM(D235:D243)</f>
        <v>32</v>
      </c>
      <c r="E234" s="125"/>
      <c r="F234" s="130"/>
      <c r="G234" s="134"/>
      <c r="H234" s="51" t="e">
        <f>+#REF!+#REF!</f>
        <v>#REF!</v>
      </c>
      <c r="I234" s="51" t="e">
        <f>+#REF!+#REF!</f>
        <v>#REF!</v>
      </c>
      <c r="J234" s="51" t="e">
        <f>+#REF!+#REF!</f>
        <v>#REF!</v>
      </c>
      <c r="K234" s="52"/>
      <c r="L234" s="52"/>
      <c r="M234" s="51" t="e">
        <f>#REF!+#REF!</f>
        <v>#REF!</v>
      </c>
      <c r="N234" s="52"/>
      <c r="O234" s="52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  <c r="CD234" s="53"/>
      <c r="CE234" s="53"/>
      <c r="CF234" s="53"/>
      <c r="CG234" s="53"/>
      <c r="CH234" s="53"/>
      <c r="CI234" s="53"/>
      <c r="CJ234" s="53"/>
      <c r="CK234" s="53"/>
      <c r="CL234" s="53"/>
      <c r="CM234" s="53"/>
      <c r="CN234" s="53"/>
      <c r="CO234" s="53"/>
      <c r="CP234" s="53"/>
      <c r="CQ234" s="53"/>
      <c r="CR234" s="53"/>
      <c r="CS234" s="53"/>
      <c r="CT234" s="53"/>
      <c r="CU234" s="53"/>
      <c r="CV234" s="53"/>
      <c r="CW234" s="53"/>
      <c r="CX234" s="53"/>
      <c r="CY234" s="53"/>
      <c r="CZ234" s="53"/>
      <c r="DA234" s="53"/>
      <c r="DB234" s="53"/>
      <c r="DC234" s="53"/>
      <c r="DD234" s="53"/>
      <c r="DE234" s="53"/>
      <c r="DF234" s="53"/>
      <c r="DG234" s="53"/>
      <c r="DH234" s="53"/>
      <c r="DI234" s="53"/>
      <c r="DJ234" s="53"/>
      <c r="DK234" s="53"/>
      <c r="DL234" s="53"/>
      <c r="DM234" s="53"/>
      <c r="DN234" s="53"/>
      <c r="DO234" s="53"/>
      <c r="DP234" s="53"/>
      <c r="DQ234" s="53"/>
      <c r="DR234" s="53"/>
      <c r="DS234" s="53"/>
      <c r="DT234" s="53"/>
      <c r="DU234" s="53"/>
      <c r="DV234" s="53"/>
      <c r="DW234" s="53"/>
      <c r="DX234" s="53"/>
      <c r="DY234" s="53"/>
      <c r="DZ234" s="53"/>
      <c r="EA234" s="53"/>
      <c r="EB234" s="53"/>
      <c r="EC234" s="53"/>
      <c r="ED234" s="53"/>
      <c r="EE234" s="53"/>
      <c r="EF234" s="53"/>
      <c r="EG234" s="53"/>
      <c r="EH234" s="53"/>
      <c r="EI234" s="53"/>
      <c r="EJ234" s="53"/>
      <c r="EK234" s="53"/>
      <c r="EL234" s="53"/>
      <c r="EM234" s="53"/>
      <c r="EN234" s="53"/>
      <c r="EO234" s="53"/>
      <c r="EP234" s="53"/>
      <c r="EQ234" s="53"/>
      <c r="ER234" s="53"/>
      <c r="ES234" s="53"/>
      <c r="ET234" s="53"/>
      <c r="EU234" s="53"/>
      <c r="EV234" s="53"/>
      <c r="EW234" s="53"/>
      <c r="EX234" s="53"/>
      <c r="EY234" s="53"/>
      <c r="EZ234" s="53"/>
      <c r="FA234" s="53"/>
      <c r="FB234" s="53"/>
      <c r="FC234" s="53"/>
      <c r="FD234" s="53"/>
      <c r="FE234" s="53"/>
      <c r="FF234" s="53"/>
      <c r="FG234" s="53"/>
      <c r="FH234" s="53"/>
      <c r="FI234" s="53"/>
      <c r="FJ234" s="53"/>
      <c r="FK234" s="53"/>
      <c r="FL234" s="53"/>
      <c r="FM234" s="53"/>
      <c r="FN234" s="53"/>
      <c r="FO234" s="53"/>
      <c r="FP234" s="53"/>
      <c r="FQ234" s="53"/>
      <c r="FR234" s="53"/>
      <c r="FS234" s="53"/>
      <c r="FT234" s="53"/>
      <c r="FU234" s="53"/>
      <c r="FV234" s="53"/>
      <c r="FW234" s="53"/>
      <c r="FX234" s="53"/>
      <c r="FY234" s="53"/>
      <c r="FZ234" s="53"/>
      <c r="GA234" s="53"/>
      <c r="GB234" s="53"/>
      <c r="GC234" s="53"/>
      <c r="GD234" s="53"/>
      <c r="GE234" s="53"/>
      <c r="GF234" s="53"/>
      <c r="GG234" s="53"/>
      <c r="GH234" s="53"/>
      <c r="GI234" s="53"/>
      <c r="GJ234" s="53"/>
      <c r="GK234" s="53"/>
      <c r="GL234" s="53"/>
      <c r="GM234" s="53"/>
      <c r="GN234" s="53"/>
      <c r="GO234" s="53"/>
      <c r="GP234" s="53"/>
      <c r="GQ234" s="53"/>
      <c r="GR234" s="53"/>
      <c r="GS234" s="53"/>
      <c r="GT234" s="53"/>
    </row>
    <row r="235" spans="1:202" s="86" customFormat="1" x14ac:dyDescent="0.25">
      <c r="A235" s="1" t="e">
        <f ca="1">IF(B235&gt;0,SUM(MAX($A$14:A238),1),0)</f>
        <v>#REF!</v>
      </c>
      <c r="B235" s="236">
        <v>1</v>
      </c>
      <c r="C235" s="237" t="s">
        <v>461</v>
      </c>
      <c r="D235" s="151">
        <v>1</v>
      </c>
      <c r="E235" s="151">
        <v>980</v>
      </c>
      <c r="F235" s="150"/>
      <c r="G235" s="239" t="s">
        <v>459</v>
      </c>
      <c r="H235" s="55"/>
      <c r="I235" s="56"/>
      <c r="J235" s="56"/>
      <c r="K235" s="56"/>
      <c r="L235" s="56"/>
      <c r="M235" s="55" t="e">
        <f>#REF!*#REF!+#REF!*#REF!</f>
        <v>#REF!</v>
      </c>
      <c r="N235" s="56"/>
      <c r="O235" s="56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  <c r="EF235" s="57"/>
      <c r="EG235" s="57"/>
      <c r="EH235" s="57"/>
      <c r="EI235" s="57"/>
      <c r="EJ235" s="57"/>
      <c r="EK235" s="57"/>
      <c r="EL235" s="57"/>
      <c r="EM235" s="57"/>
      <c r="EN235" s="57"/>
      <c r="EO235" s="57"/>
      <c r="EP235" s="57"/>
      <c r="EQ235" s="57"/>
      <c r="ER235" s="57"/>
      <c r="ES235" s="57"/>
      <c r="ET235" s="57"/>
      <c r="EU235" s="57"/>
      <c r="EV235" s="57"/>
      <c r="EW235" s="57"/>
      <c r="EX235" s="57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/>
      <c r="FL235" s="57"/>
      <c r="FM235" s="57"/>
      <c r="FN235" s="57"/>
      <c r="FO235" s="57"/>
      <c r="FP235" s="57"/>
      <c r="FQ235" s="57"/>
      <c r="FR235" s="57"/>
      <c r="FS235" s="57"/>
      <c r="FT235" s="57"/>
      <c r="FU235" s="57"/>
      <c r="FV235" s="57"/>
      <c r="FW235" s="57"/>
      <c r="FX235" s="57"/>
      <c r="FY235" s="57"/>
      <c r="FZ235" s="57"/>
      <c r="GA235" s="57"/>
      <c r="GB235" s="57"/>
      <c r="GC235" s="57"/>
      <c r="GD235" s="57"/>
      <c r="GE235" s="57"/>
      <c r="GF235" s="57"/>
      <c r="GG235" s="57"/>
      <c r="GH235" s="57"/>
      <c r="GI235" s="57"/>
      <c r="GJ235" s="57"/>
      <c r="GK235" s="57"/>
      <c r="GL235" s="57"/>
      <c r="GM235" s="57"/>
      <c r="GN235" s="57"/>
      <c r="GO235" s="57"/>
      <c r="GP235" s="57"/>
      <c r="GQ235" s="57"/>
      <c r="GR235" s="57"/>
      <c r="GS235" s="57"/>
      <c r="GT235" s="57"/>
    </row>
    <row r="236" spans="1:202" s="86" customFormat="1" x14ac:dyDescent="0.25">
      <c r="A236" s="1">
        <f>IF(B236&gt;0,SUM(MAX($A$14:A235),1),0)</f>
        <v>0</v>
      </c>
      <c r="B236" s="236"/>
      <c r="C236" s="237"/>
      <c r="D236" s="151">
        <v>3</v>
      </c>
      <c r="E236" s="151">
        <v>1950</v>
      </c>
      <c r="F236" s="150"/>
      <c r="G236" s="239"/>
      <c r="H236" s="55"/>
      <c r="I236" s="56"/>
      <c r="J236" s="56"/>
      <c r="K236" s="56"/>
      <c r="L236" s="56"/>
      <c r="M236" s="55"/>
      <c r="N236" s="56"/>
      <c r="O236" s="56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  <c r="DO236" s="57"/>
      <c r="DP236" s="57"/>
      <c r="DQ236" s="57"/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  <c r="EB236" s="57"/>
      <c r="EC236" s="57"/>
      <c r="ED236" s="57"/>
      <c r="EE236" s="57"/>
      <c r="EF236" s="57"/>
      <c r="EG236" s="57"/>
      <c r="EH236" s="57"/>
      <c r="EI236" s="57"/>
      <c r="EJ236" s="57"/>
      <c r="EK236" s="57"/>
      <c r="EL236" s="57"/>
      <c r="EM236" s="57"/>
      <c r="EN236" s="57"/>
      <c r="EO236" s="57"/>
      <c r="EP236" s="57"/>
      <c r="EQ236" s="57"/>
      <c r="ER236" s="57"/>
      <c r="ES236" s="57"/>
      <c r="ET236" s="57"/>
      <c r="EU236" s="57"/>
      <c r="EV236" s="57"/>
      <c r="EW236" s="57"/>
      <c r="EX236" s="57"/>
      <c r="EY236" s="57"/>
      <c r="EZ236" s="57"/>
      <c r="FA236" s="57"/>
      <c r="FB236" s="57"/>
      <c r="FC236" s="57"/>
      <c r="FD236" s="57"/>
      <c r="FE236" s="57"/>
      <c r="FF236" s="57"/>
      <c r="FG236" s="57"/>
      <c r="FH236" s="57"/>
      <c r="FI236" s="57"/>
      <c r="FJ236" s="57"/>
      <c r="FK236" s="57"/>
      <c r="FL236" s="57"/>
      <c r="FM236" s="57"/>
      <c r="FN236" s="57"/>
      <c r="FO236" s="57"/>
      <c r="FP236" s="57"/>
      <c r="FQ236" s="57"/>
      <c r="FR236" s="57"/>
      <c r="FS236" s="57"/>
      <c r="FT236" s="57"/>
      <c r="FU236" s="57"/>
      <c r="FV236" s="57"/>
      <c r="FW236" s="57"/>
      <c r="FX236" s="57"/>
      <c r="FY236" s="57"/>
      <c r="FZ236" s="57"/>
      <c r="GA236" s="57"/>
      <c r="GB236" s="57"/>
      <c r="GC236" s="57"/>
      <c r="GD236" s="57"/>
      <c r="GE236" s="57"/>
      <c r="GF236" s="57"/>
      <c r="GG236" s="57"/>
      <c r="GH236" s="57"/>
      <c r="GI236" s="57"/>
      <c r="GJ236" s="57"/>
      <c r="GK236" s="57"/>
      <c r="GL236" s="57"/>
      <c r="GM236" s="57"/>
      <c r="GN236" s="57"/>
      <c r="GO236" s="57"/>
      <c r="GP236" s="57"/>
      <c r="GQ236" s="57"/>
      <c r="GR236" s="57"/>
      <c r="GS236" s="57"/>
      <c r="GT236" s="57"/>
    </row>
    <row r="237" spans="1:202" s="86" customFormat="1" x14ac:dyDescent="0.25">
      <c r="A237" s="1" t="e">
        <f ca="1">IF(B237&gt;0,SUM(MAX($A$14:A236),1),0)</f>
        <v>#REF!</v>
      </c>
      <c r="B237" s="149">
        <v>2</v>
      </c>
      <c r="C237" s="150" t="s">
        <v>464</v>
      </c>
      <c r="D237" s="151">
        <v>3</v>
      </c>
      <c r="E237" s="151">
        <v>1950</v>
      </c>
      <c r="F237" s="150"/>
      <c r="G237" s="126" t="s">
        <v>459</v>
      </c>
      <c r="H237" s="55"/>
      <c r="I237" s="56"/>
      <c r="J237" s="56"/>
      <c r="K237" s="56"/>
      <c r="L237" s="56"/>
      <c r="M237" s="55" t="e">
        <f>#REF!*#REF!</f>
        <v>#REF!</v>
      </c>
      <c r="N237" s="56"/>
      <c r="O237" s="56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7"/>
      <c r="BS237" s="57"/>
      <c r="BT237" s="57"/>
      <c r="BU237" s="57"/>
      <c r="BV237" s="57"/>
      <c r="BW237" s="57"/>
      <c r="BX237" s="57"/>
      <c r="BY237" s="57"/>
      <c r="BZ237" s="57"/>
      <c r="CA237" s="57"/>
      <c r="CB237" s="57"/>
      <c r="CC237" s="57"/>
      <c r="CD237" s="57"/>
      <c r="CE237" s="57"/>
      <c r="CF237" s="57"/>
      <c r="CG237" s="57"/>
      <c r="CH237" s="57"/>
      <c r="CI237" s="57"/>
      <c r="CJ237" s="57"/>
      <c r="CK237" s="57"/>
      <c r="CL237" s="57"/>
      <c r="CM237" s="57"/>
      <c r="CN237" s="57"/>
      <c r="CO237" s="57"/>
      <c r="CP237" s="57"/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/>
      <c r="DJ237" s="57"/>
      <c r="DK237" s="57"/>
      <c r="DL237" s="57"/>
      <c r="DM237" s="57"/>
      <c r="DN237" s="57"/>
      <c r="DO237" s="57"/>
      <c r="DP237" s="57"/>
      <c r="DQ237" s="57"/>
      <c r="DR237" s="57"/>
      <c r="DS237" s="57"/>
      <c r="DT237" s="57"/>
      <c r="DU237" s="57"/>
      <c r="DV237" s="57"/>
      <c r="DW237" s="57"/>
      <c r="DX237" s="57"/>
      <c r="DY237" s="57"/>
      <c r="DZ237" s="57"/>
      <c r="EA237" s="57"/>
      <c r="EB237" s="57"/>
      <c r="EC237" s="57"/>
      <c r="ED237" s="57"/>
      <c r="EE237" s="57"/>
      <c r="EF237" s="57"/>
      <c r="EG237" s="57"/>
      <c r="EH237" s="57"/>
      <c r="EI237" s="57"/>
      <c r="EJ237" s="57"/>
      <c r="EK237" s="57"/>
      <c r="EL237" s="57"/>
      <c r="EM237" s="57"/>
      <c r="EN237" s="57"/>
      <c r="EO237" s="57"/>
      <c r="EP237" s="57"/>
      <c r="EQ237" s="57"/>
      <c r="ER237" s="57"/>
      <c r="ES237" s="57"/>
      <c r="ET237" s="57"/>
      <c r="EU237" s="57"/>
      <c r="EV237" s="57"/>
      <c r="EW237" s="57"/>
      <c r="EX237" s="57"/>
      <c r="EY237" s="57"/>
      <c r="EZ237" s="57"/>
      <c r="FA237" s="57"/>
      <c r="FB237" s="57"/>
      <c r="FC237" s="57"/>
      <c r="FD237" s="57"/>
      <c r="FE237" s="57"/>
      <c r="FF237" s="57"/>
      <c r="FG237" s="57"/>
      <c r="FH237" s="57"/>
      <c r="FI237" s="57"/>
      <c r="FJ237" s="57"/>
      <c r="FK237" s="57"/>
      <c r="FL237" s="57"/>
      <c r="FM237" s="57"/>
      <c r="FN237" s="57"/>
      <c r="FO237" s="57"/>
      <c r="FP237" s="57"/>
      <c r="FQ237" s="57"/>
      <c r="FR237" s="57"/>
      <c r="FS237" s="57"/>
      <c r="FT237" s="57"/>
      <c r="FU237" s="57"/>
      <c r="FV237" s="57"/>
      <c r="FW237" s="57"/>
      <c r="FX237" s="57"/>
      <c r="FY237" s="57"/>
      <c r="FZ237" s="57"/>
      <c r="GA237" s="57"/>
      <c r="GB237" s="57"/>
      <c r="GC237" s="57"/>
      <c r="GD237" s="57"/>
      <c r="GE237" s="57"/>
      <c r="GF237" s="57"/>
      <c r="GG237" s="57"/>
      <c r="GH237" s="57"/>
      <c r="GI237" s="57"/>
      <c r="GJ237" s="57"/>
      <c r="GK237" s="57"/>
      <c r="GL237" s="57"/>
      <c r="GM237" s="57"/>
      <c r="GN237" s="57"/>
      <c r="GO237" s="57"/>
      <c r="GP237" s="57"/>
      <c r="GQ237" s="57"/>
      <c r="GR237" s="57"/>
      <c r="GS237" s="57"/>
      <c r="GT237" s="57"/>
    </row>
    <row r="238" spans="1:202" s="86" customFormat="1" x14ac:dyDescent="0.25">
      <c r="A238" s="1" t="e">
        <f ca="1">IF(B238&gt;0,SUM(MAX($A$14:A234),1),0)</f>
        <v>#REF!</v>
      </c>
      <c r="B238" s="149">
        <v>3</v>
      </c>
      <c r="C238" s="150" t="s">
        <v>458</v>
      </c>
      <c r="D238" s="151">
        <v>3</v>
      </c>
      <c r="E238" s="123">
        <v>2500</v>
      </c>
      <c r="F238" s="150"/>
      <c r="G238" s="126" t="s">
        <v>459</v>
      </c>
      <c r="H238" s="55"/>
      <c r="I238" s="56"/>
      <c r="J238" s="56"/>
      <c r="K238" s="56"/>
      <c r="L238" s="56"/>
      <c r="M238" s="55" t="e">
        <f>#REF!*#REF!</f>
        <v>#REF!</v>
      </c>
      <c r="N238" s="56"/>
      <c r="O238" s="56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  <c r="EB238" s="57"/>
      <c r="EC238" s="57"/>
      <c r="ED238" s="57"/>
      <c r="EE238" s="57"/>
      <c r="EF238" s="57"/>
      <c r="EG238" s="57"/>
      <c r="EH238" s="57"/>
      <c r="EI238" s="57"/>
      <c r="EJ238" s="57"/>
      <c r="EK238" s="57"/>
      <c r="EL238" s="57"/>
      <c r="EM238" s="57"/>
      <c r="EN238" s="57"/>
      <c r="EO238" s="57"/>
      <c r="EP238" s="57"/>
      <c r="EQ238" s="57"/>
      <c r="ER238" s="57"/>
      <c r="ES238" s="57"/>
      <c r="ET238" s="57"/>
      <c r="EU238" s="57"/>
      <c r="EV238" s="57"/>
      <c r="EW238" s="57"/>
      <c r="EX238" s="57"/>
      <c r="EY238" s="57"/>
      <c r="EZ238" s="57"/>
      <c r="FA238" s="57"/>
      <c r="FB238" s="57"/>
      <c r="FC238" s="57"/>
      <c r="FD238" s="57"/>
      <c r="FE238" s="57"/>
      <c r="FF238" s="57"/>
      <c r="FG238" s="57"/>
      <c r="FH238" s="57"/>
      <c r="FI238" s="57"/>
      <c r="FJ238" s="57"/>
      <c r="FK238" s="57"/>
      <c r="FL238" s="57"/>
      <c r="FM238" s="57"/>
      <c r="FN238" s="57"/>
      <c r="FO238" s="57"/>
      <c r="FP238" s="57"/>
      <c r="FQ238" s="57"/>
      <c r="FR238" s="57"/>
      <c r="FS238" s="57"/>
      <c r="FT238" s="57"/>
      <c r="FU238" s="57"/>
      <c r="FV238" s="57"/>
      <c r="FW238" s="57"/>
      <c r="FX238" s="57"/>
      <c r="FY238" s="57"/>
      <c r="FZ238" s="57"/>
      <c r="GA238" s="57"/>
      <c r="GB238" s="57"/>
      <c r="GC238" s="57"/>
      <c r="GD238" s="57"/>
      <c r="GE238" s="57"/>
      <c r="GF238" s="57"/>
      <c r="GG238" s="57"/>
      <c r="GH238" s="57"/>
      <c r="GI238" s="57"/>
      <c r="GJ238" s="57"/>
      <c r="GK238" s="57"/>
      <c r="GL238" s="57"/>
      <c r="GM238" s="57"/>
      <c r="GN238" s="57"/>
      <c r="GO238" s="57"/>
      <c r="GP238" s="57"/>
      <c r="GQ238" s="57"/>
      <c r="GR238" s="57"/>
      <c r="GS238" s="57"/>
      <c r="GT238" s="57"/>
    </row>
    <row r="239" spans="1:202" s="97" customFormat="1" x14ac:dyDescent="0.25">
      <c r="A239" s="1" t="e">
        <f ca="1">IF(B239&gt;0,SUM(MAX($A$14:A238),1),0)</f>
        <v>#REF!</v>
      </c>
      <c r="B239" s="149">
        <v>4</v>
      </c>
      <c r="C239" s="121" t="s">
        <v>477</v>
      </c>
      <c r="D239" s="126">
        <v>6</v>
      </c>
      <c r="E239" s="135">
        <v>1950</v>
      </c>
      <c r="F239" s="121"/>
      <c r="G239" s="126" t="s">
        <v>26</v>
      </c>
      <c r="H239" s="95"/>
      <c r="I239" s="96"/>
      <c r="J239" s="96"/>
      <c r="K239" s="96"/>
      <c r="L239" s="96"/>
      <c r="M239" s="95" t="e">
        <f>#REF!*#REF!</f>
        <v>#REF!</v>
      </c>
      <c r="N239" s="96"/>
      <c r="O239" s="96"/>
      <c r="Q239" s="104"/>
    </row>
    <row r="240" spans="1:202" s="97" customFormat="1" x14ac:dyDescent="0.25">
      <c r="A240" s="1" t="e">
        <f ca="1">IF(B240&gt;0,SUM(MAX($A$14:A239),1),0)</f>
        <v>#REF!</v>
      </c>
      <c r="B240" s="149">
        <v>5</v>
      </c>
      <c r="C240" s="121" t="s">
        <v>480</v>
      </c>
      <c r="D240" s="126">
        <v>4</v>
      </c>
      <c r="E240" s="135">
        <v>2400</v>
      </c>
      <c r="F240" s="121"/>
      <c r="G240" s="126" t="s">
        <v>26</v>
      </c>
      <c r="H240" s="95"/>
      <c r="I240" s="96"/>
      <c r="J240" s="96"/>
      <c r="K240" s="96"/>
      <c r="L240" s="96"/>
      <c r="M240" s="95" t="e">
        <f>#REF!*#REF!</f>
        <v>#REF!</v>
      </c>
      <c r="N240" s="96"/>
      <c r="O240" s="96"/>
      <c r="Q240" s="104"/>
    </row>
    <row r="241" spans="1:15" s="97" customFormat="1" x14ac:dyDescent="0.25">
      <c r="A241" s="1" t="e">
        <f ca="1">IF(B241&gt;0,SUM(MAX($A$14:A243),1),0)</f>
        <v>#REF!</v>
      </c>
      <c r="B241" s="149">
        <v>6</v>
      </c>
      <c r="C241" s="121" t="s">
        <v>486</v>
      </c>
      <c r="D241" s="126">
        <v>3</v>
      </c>
      <c r="E241" s="135">
        <v>980</v>
      </c>
      <c r="F241" s="121"/>
      <c r="G241" s="126" t="s">
        <v>484</v>
      </c>
      <c r="H241" s="95"/>
      <c r="I241" s="96"/>
      <c r="J241" s="96"/>
      <c r="K241" s="96"/>
      <c r="L241" s="96"/>
      <c r="M241" s="95" t="e">
        <f>#REF!*#REF!</f>
        <v>#REF!</v>
      </c>
      <c r="N241" s="96"/>
      <c r="O241" s="96"/>
    </row>
    <row r="242" spans="1:15" s="94" customFormat="1" x14ac:dyDescent="0.25">
      <c r="A242" s="1" t="e">
        <f ca="1">IF(B242&gt;0,SUM(MAX($A$14:A241),1),0)</f>
        <v>#REF!</v>
      </c>
      <c r="B242" s="149">
        <v>7</v>
      </c>
      <c r="C242" s="121" t="s">
        <v>488</v>
      </c>
      <c r="D242" s="126">
        <v>3</v>
      </c>
      <c r="E242" s="135">
        <v>1950</v>
      </c>
      <c r="F242" s="121"/>
      <c r="G242" s="126" t="s">
        <v>484</v>
      </c>
      <c r="H242" s="91"/>
      <c r="I242" s="92"/>
      <c r="J242" s="92"/>
      <c r="K242" s="92"/>
      <c r="L242" s="92"/>
      <c r="M242" s="95" t="e">
        <f>#REF!*#REF!</f>
        <v>#REF!</v>
      </c>
      <c r="N242" s="92"/>
      <c r="O242" s="92"/>
    </row>
    <row r="243" spans="1:15" s="97" customFormat="1" x14ac:dyDescent="0.25">
      <c r="A243" s="1" t="e">
        <f ca="1">IF(B243&gt;0,SUM(MAX($A$14:A240),1),0)</f>
        <v>#REF!</v>
      </c>
      <c r="B243" s="149">
        <v>8</v>
      </c>
      <c r="C243" s="121" t="s">
        <v>482</v>
      </c>
      <c r="D243" s="126">
        <v>6</v>
      </c>
      <c r="E243" s="135">
        <v>2400</v>
      </c>
      <c r="F243" s="121"/>
      <c r="G243" s="126" t="s">
        <v>484</v>
      </c>
      <c r="H243" s="95"/>
      <c r="I243" s="96"/>
      <c r="J243" s="96"/>
      <c r="K243" s="96"/>
      <c r="L243" s="96"/>
      <c r="M243" s="95" t="e">
        <f>#REF!*#REF!</f>
        <v>#REF!</v>
      </c>
      <c r="N243" s="96"/>
      <c r="O243" s="96"/>
    </row>
    <row r="244" spans="1:15" s="93" customFormat="1" x14ac:dyDescent="0.25">
      <c r="A244" s="1"/>
      <c r="B244" s="134" t="s">
        <v>490</v>
      </c>
      <c r="C244" s="130" t="s">
        <v>532</v>
      </c>
      <c r="D244" s="148">
        <f>+SUM(D245)</f>
        <v>10</v>
      </c>
      <c r="E244" s="125"/>
      <c r="F244" s="130"/>
      <c r="G244" s="134"/>
      <c r="H244" s="91" t="e">
        <f>H245</f>
        <v>#REF!</v>
      </c>
      <c r="I244" s="92"/>
      <c r="J244" s="92"/>
      <c r="K244" s="92"/>
      <c r="L244" s="92"/>
      <c r="M244" s="91" t="e">
        <f>M245</f>
        <v>#REF!</v>
      </c>
      <c r="N244" s="92"/>
      <c r="O244" s="92"/>
    </row>
    <row r="245" spans="1:15" s="97" customFormat="1" x14ac:dyDescent="0.25">
      <c r="A245" s="1" t="e">
        <f ca="1">IF(B245&gt;0,SUM(MAX($A$14:A244),1),0)</f>
        <v>#REF!</v>
      </c>
      <c r="B245" s="154">
        <v>1</v>
      </c>
      <c r="C245" s="155" t="s">
        <v>492</v>
      </c>
      <c r="D245" s="156">
        <v>10</v>
      </c>
      <c r="E245" s="157">
        <v>43200</v>
      </c>
      <c r="F245" s="155"/>
      <c r="G245" s="156" t="s">
        <v>344</v>
      </c>
      <c r="H245" s="25" t="e">
        <f>COUNTIF(#REF!,"lớn")</f>
        <v>#REF!</v>
      </c>
      <c r="I245" s="25" t="e">
        <f>COUNTIF(#REF!,"vừa")</f>
        <v>#REF!</v>
      </c>
      <c r="J245" s="25" t="e">
        <f>COUNTIF(#REF!,"nhỏ")</f>
        <v>#REF!</v>
      </c>
      <c r="K245" s="96"/>
      <c r="L245" s="96"/>
      <c r="M245" s="95" t="e">
        <f>#REF!*#REF!</f>
        <v>#REF!</v>
      </c>
      <c r="N245" s="96"/>
      <c r="O245" s="96"/>
    </row>
    <row r="246" spans="1:15" s="2" customFormat="1" x14ac:dyDescent="0.25">
      <c r="A246" s="18"/>
      <c r="B246" s="22"/>
      <c r="C246" s="20" t="str">
        <f>"Tổng "&amp;COUNT(B14:B245)&amp;" trạm"</f>
        <v>Tổng 153 trạm</v>
      </c>
      <c r="D246" s="20"/>
      <c r="E246" s="20"/>
      <c r="F246" s="20"/>
      <c r="G246" s="22"/>
      <c r="H246" s="23"/>
      <c r="I246" s="24"/>
      <c r="J246" s="24"/>
      <c r="K246" s="24"/>
      <c r="L246" s="24"/>
      <c r="M246" s="23"/>
      <c r="N246" s="24"/>
      <c r="O246" s="24"/>
    </row>
    <row r="65435" spans="13:13" x14ac:dyDescent="0.25">
      <c r="M65435" s="101" t="e">
        <f>#REF!*#REF!</f>
        <v>#REF!</v>
      </c>
    </row>
  </sheetData>
  <mergeCells count="176">
    <mergeCell ref="B3:B4"/>
    <mergeCell ref="C3:C4"/>
    <mergeCell ref="D3:E3"/>
    <mergeCell ref="G3:G4"/>
    <mergeCell ref="D12:D13"/>
    <mergeCell ref="E12:E13"/>
    <mergeCell ref="F12:F13"/>
    <mergeCell ref="B235:B236"/>
    <mergeCell ref="C235:C236"/>
    <mergeCell ref="G235:G236"/>
    <mergeCell ref="B227:B229"/>
    <mergeCell ref="C227:C228"/>
    <mergeCell ref="G227:G228"/>
    <mergeCell ref="B221:B223"/>
    <mergeCell ref="C221:C222"/>
    <mergeCell ref="G221:G223"/>
    <mergeCell ref="B218:B219"/>
    <mergeCell ref="C218:C219"/>
    <mergeCell ref="G218:G219"/>
    <mergeCell ref="B216:B217"/>
    <mergeCell ref="C216:C217"/>
    <mergeCell ref="G216:G217"/>
    <mergeCell ref="B212:B213"/>
    <mergeCell ref="C212:C213"/>
    <mergeCell ref="G212:G213"/>
    <mergeCell ref="B196:B197"/>
    <mergeCell ref="C196:C197"/>
    <mergeCell ref="G196:G197"/>
    <mergeCell ref="B190:B192"/>
    <mergeCell ref="G190:G192"/>
    <mergeCell ref="B194:B195"/>
    <mergeCell ref="G194:G195"/>
    <mergeCell ref="B186:B187"/>
    <mergeCell ref="C186:C187"/>
    <mergeCell ref="G186:G187"/>
    <mergeCell ref="B183:B184"/>
    <mergeCell ref="C183:C184"/>
    <mergeCell ref="G183:G184"/>
    <mergeCell ref="B179:B180"/>
    <mergeCell ref="C179:C180"/>
    <mergeCell ref="G179:G180"/>
    <mergeCell ref="B177:B178"/>
    <mergeCell ref="C177:C178"/>
    <mergeCell ref="G177:G178"/>
    <mergeCell ref="B175:B176"/>
    <mergeCell ref="C175:C176"/>
    <mergeCell ref="G175:G176"/>
    <mergeCell ref="B171:B172"/>
    <mergeCell ref="C171:C172"/>
    <mergeCell ref="G171:G172"/>
    <mergeCell ref="B163:B164"/>
    <mergeCell ref="C163:C164"/>
    <mergeCell ref="G163:G164"/>
    <mergeCell ref="B161:B162"/>
    <mergeCell ref="C161:C162"/>
    <mergeCell ref="G161:G162"/>
    <mergeCell ref="B159:B160"/>
    <mergeCell ref="C159:C160"/>
    <mergeCell ref="G159:G160"/>
    <mergeCell ref="B155:B156"/>
    <mergeCell ref="C155:C156"/>
    <mergeCell ref="G155:G156"/>
    <mergeCell ref="B153:B154"/>
    <mergeCell ref="C153:C154"/>
    <mergeCell ref="G153:G154"/>
    <mergeCell ref="B151:B152"/>
    <mergeCell ref="C151:C152"/>
    <mergeCell ref="G151:G152"/>
    <mergeCell ref="B146:B147"/>
    <mergeCell ref="G146:G147"/>
    <mergeCell ref="B149:B150"/>
    <mergeCell ref="C149:C150"/>
    <mergeCell ref="G149:G150"/>
    <mergeCell ref="B141:B142"/>
    <mergeCell ref="C141:C142"/>
    <mergeCell ref="G141:G142"/>
    <mergeCell ref="B137:B138"/>
    <mergeCell ref="C137:C138"/>
    <mergeCell ref="G137:G138"/>
    <mergeCell ref="B135:B136"/>
    <mergeCell ref="G135:G136"/>
    <mergeCell ref="B129:B130"/>
    <mergeCell ref="C129:C130"/>
    <mergeCell ref="G129:G130"/>
    <mergeCell ref="B124:B126"/>
    <mergeCell ref="C124:C125"/>
    <mergeCell ref="G124:G126"/>
    <mergeCell ref="B122:B123"/>
    <mergeCell ref="C122:C123"/>
    <mergeCell ref="G122:G123"/>
    <mergeCell ref="B119:B120"/>
    <mergeCell ref="G119:G120"/>
    <mergeCell ref="B113:B114"/>
    <mergeCell ref="C113:C114"/>
    <mergeCell ref="G113:G114"/>
    <mergeCell ref="B107:B108"/>
    <mergeCell ref="G107:G108"/>
    <mergeCell ref="B109:B110"/>
    <mergeCell ref="C109:C110"/>
    <mergeCell ref="G109:G110"/>
    <mergeCell ref="B104:B105"/>
    <mergeCell ref="G104:G105"/>
    <mergeCell ref="B100:B101"/>
    <mergeCell ref="C100:C101"/>
    <mergeCell ref="G100:G101"/>
    <mergeCell ref="B98:B99"/>
    <mergeCell ref="G98:G99"/>
    <mergeCell ref="B93:B94"/>
    <mergeCell ref="G93:G94"/>
    <mergeCell ref="B95:B97"/>
    <mergeCell ref="C95:C96"/>
    <mergeCell ref="G95:G97"/>
    <mergeCell ref="B90:B91"/>
    <mergeCell ref="G90:G91"/>
    <mergeCell ref="B85:B86"/>
    <mergeCell ref="C85:C86"/>
    <mergeCell ref="G85:G87"/>
    <mergeCell ref="B82:B83"/>
    <mergeCell ref="C82:C83"/>
    <mergeCell ref="G82:G84"/>
    <mergeCell ref="B80:B81"/>
    <mergeCell ref="C80:C81"/>
    <mergeCell ref="G80:G81"/>
    <mergeCell ref="B78:B79"/>
    <mergeCell ref="C78:C79"/>
    <mergeCell ref="G78:G79"/>
    <mergeCell ref="B75:B76"/>
    <mergeCell ref="C75:C76"/>
    <mergeCell ref="G75:G76"/>
    <mergeCell ref="B73:B74"/>
    <mergeCell ref="C73:C74"/>
    <mergeCell ref="G73:G74"/>
    <mergeCell ref="B68:B69"/>
    <mergeCell ref="C68:C69"/>
    <mergeCell ref="G68:G69"/>
    <mergeCell ref="B61:B63"/>
    <mergeCell ref="C61:C63"/>
    <mergeCell ref="G61:G63"/>
    <mergeCell ref="B59:B60"/>
    <mergeCell ref="C59:C60"/>
    <mergeCell ref="G59:G60"/>
    <mergeCell ref="B57:B58"/>
    <mergeCell ref="C57:C58"/>
    <mergeCell ref="G57:G58"/>
    <mergeCell ref="B54:B55"/>
    <mergeCell ref="C54:C55"/>
    <mergeCell ref="G54:G56"/>
    <mergeCell ref="B51:B52"/>
    <mergeCell ref="C51:C52"/>
    <mergeCell ref="G51:G53"/>
    <mergeCell ref="B49:B50"/>
    <mergeCell ref="C49:C50"/>
    <mergeCell ref="G49:G50"/>
    <mergeCell ref="B47:B48"/>
    <mergeCell ref="C47:C48"/>
    <mergeCell ref="G47:G48"/>
    <mergeCell ref="G43:G44"/>
    <mergeCell ref="B45:B46"/>
    <mergeCell ref="C45:C46"/>
    <mergeCell ref="G45:G46"/>
    <mergeCell ref="G41:G42"/>
    <mergeCell ref="B38:B39"/>
    <mergeCell ref="C38:C39"/>
    <mergeCell ref="G38:G40"/>
    <mergeCell ref="G32:G33"/>
    <mergeCell ref="B36:B37"/>
    <mergeCell ref="C36:C37"/>
    <mergeCell ref="G36:G37"/>
    <mergeCell ref="B19:B20"/>
    <mergeCell ref="C19:C20"/>
    <mergeCell ref="G19:G20"/>
    <mergeCell ref="B1:G1"/>
    <mergeCell ref="B2:G2"/>
    <mergeCell ref="B12:B13"/>
    <mergeCell ref="C12:C13"/>
    <mergeCell ref="G12:G13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75" fitToHeight="0" orientation="portrait" r:id="rId1"/>
  <headerFooter>
    <oddFooter>&amp;C&amp;P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6F9C-A5A8-4223-A403-207E64C3629F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Sheet1</vt:lpstr>
      <vt:lpstr>Trạm bơm</vt:lpstr>
      <vt:lpstr>TB Tiêu (KH)</vt:lpstr>
      <vt:lpstr>Sheet3</vt:lpstr>
      <vt:lpstr>TB Tiêu (KH) (2)</vt:lpstr>
      <vt:lpstr>Sheet2</vt:lpstr>
      <vt:lpstr>'TB Tiêu (KH)'!Print_Area</vt:lpstr>
      <vt:lpstr>'TB Tiêu (KH) (2)'!Print_Area</vt:lpstr>
      <vt:lpstr>'Trạm bơm'!Print_Area</vt:lpstr>
      <vt:lpstr>Sheet1!Print_Titles</vt:lpstr>
      <vt:lpstr>'TB Tiêu (KH)'!Print_Titles</vt:lpstr>
      <vt:lpstr>'TB Tiêu (KH) (2)'!Print_Titles</vt:lpstr>
      <vt:lpstr>'Trạm bơm'!Print_Titles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2026-08-24T11:35:44Z</cp:lastPrinted>
  <dcterms:created xsi:type="dcterms:W3CDTF">2023-11-24T02:57:59Z</dcterms:created>
  <dcterms:modified xsi:type="dcterms:W3CDTF">2026-09-10T10:03:35Z</dcterms:modified>
</cp:coreProperties>
</file>